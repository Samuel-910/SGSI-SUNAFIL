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4746D960-2820-42B6-81A2-57CDFE0EBA18}" xr6:coauthVersionLast="47" xr6:coauthVersionMax="47" xr10:uidLastSave="{00000000-0000-0000-0000-000000000000}"/>
  <bookViews>
    <workbookView xWindow="-108" yWindow="-108" windowWidth="23256" windowHeight="12456" tabRatio="500" xr2:uid="{00000000-000D-0000-FFFF-FFFF00000000}"/>
  </bookViews>
  <sheets>
    <sheet name="1. Contexto Organizacional" sheetId="1" r:id="rId1"/>
    <sheet name="2. Identificación de Activos" sheetId="2" r:id="rId2"/>
    <sheet name="3. Amenazas y Vulnerabilidades" sheetId="3" r:id="rId3"/>
    <sheet name="4. Matriz de Riesgo"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84" i="4" l="1"/>
  <c r="I84" i="4" s="1"/>
  <c r="H83" i="4"/>
  <c r="I83" i="4" s="1"/>
  <c r="I82" i="4"/>
  <c r="H82" i="4"/>
  <c r="H81" i="4"/>
  <c r="I81" i="4" s="1"/>
  <c r="H80" i="4"/>
  <c r="I80" i="4" s="1"/>
  <c r="H79" i="4"/>
  <c r="I79" i="4" s="1"/>
  <c r="I78" i="4"/>
  <c r="H78" i="4"/>
  <c r="I77" i="4"/>
  <c r="H77" i="4"/>
  <c r="I76" i="4"/>
  <c r="H76" i="4"/>
  <c r="H75" i="4"/>
  <c r="I75" i="4" s="1"/>
  <c r="H74" i="4"/>
  <c r="I74" i="4" s="1"/>
  <c r="H73" i="4"/>
  <c r="I73" i="4" s="1"/>
  <c r="I72" i="4"/>
  <c r="H72" i="4"/>
  <c r="H71" i="4"/>
  <c r="I71" i="4" s="1"/>
  <c r="H70" i="4"/>
  <c r="I70" i="4" s="1"/>
  <c r="H69" i="4"/>
  <c r="I69" i="4" s="1"/>
  <c r="H68" i="4"/>
  <c r="I68" i="4" s="1"/>
  <c r="I67" i="4"/>
  <c r="H67" i="4"/>
  <c r="I65" i="4"/>
  <c r="H65" i="4"/>
  <c r="H64" i="4"/>
  <c r="I64" i="4" s="1"/>
  <c r="H63" i="4"/>
  <c r="I63" i="4" s="1"/>
  <c r="H62" i="4"/>
  <c r="I62" i="4" s="1"/>
  <c r="I61" i="4"/>
  <c r="H61" i="4"/>
  <c r="H60" i="4"/>
  <c r="I60" i="4" s="1"/>
  <c r="H59" i="4"/>
  <c r="I59" i="4" s="1"/>
  <c r="H58" i="4"/>
  <c r="I58" i="4" s="1"/>
  <c r="H57" i="4"/>
  <c r="I57" i="4" s="1"/>
  <c r="I56" i="4"/>
  <c r="H56" i="4"/>
  <c r="I55" i="4"/>
  <c r="H55" i="4"/>
  <c r="H54" i="4"/>
  <c r="I54" i="4" s="1"/>
  <c r="H53" i="4"/>
  <c r="I53" i="4" s="1"/>
  <c r="H52" i="4"/>
  <c r="I52" i="4" s="1"/>
  <c r="I51" i="4"/>
  <c r="H51" i="4"/>
  <c r="H50" i="4"/>
  <c r="I50" i="4" s="1"/>
  <c r="H49" i="4"/>
  <c r="I49" i="4" s="1"/>
  <c r="H48" i="4"/>
  <c r="I48" i="4" s="1"/>
  <c r="H47" i="4"/>
  <c r="I47" i="4" s="1"/>
  <c r="I46" i="4"/>
  <c r="H46" i="4"/>
  <c r="I45" i="4"/>
  <c r="H45" i="4"/>
  <c r="H43" i="4"/>
  <c r="I43" i="4" s="1"/>
  <c r="H42" i="4"/>
  <c r="I42" i="4" s="1"/>
  <c r="H41" i="4"/>
  <c r="I41" i="4" s="1"/>
  <c r="I40" i="4"/>
  <c r="H40" i="4"/>
  <c r="H39" i="4"/>
  <c r="I39" i="4" s="1"/>
  <c r="H38" i="4"/>
  <c r="I38" i="4" s="1"/>
  <c r="H37" i="4"/>
  <c r="I37" i="4" s="1"/>
  <c r="H36" i="4"/>
  <c r="I36" i="4" s="1"/>
  <c r="I35" i="4"/>
  <c r="H35" i="4"/>
  <c r="I34" i="4"/>
  <c r="H34" i="4"/>
  <c r="H33" i="4"/>
  <c r="I33" i="4" s="1"/>
  <c r="H32" i="4"/>
  <c r="I32" i="4" s="1"/>
  <c r="H31" i="4"/>
  <c r="I31" i="4" s="1"/>
  <c r="I30" i="4"/>
  <c r="H30" i="4"/>
  <c r="H29" i="4"/>
  <c r="I29" i="4" s="1"/>
  <c r="H28" i="4"/>
  <c r="I28" i="4" s="1"/>
  <c r="H27" i="4"/>
  <c r="I27" i="4" s="1"/>
  <c r="H26" i="4"/>
  <c r="I26" i="4" s="1"/>
  <c r="I25" i="4"/>
  <c r="H25" i="4"/>
  <c r="I24" i="4"/>
  <c r="H24" i="4"/>
  <c r="H23" i="4"/>
  <c r="I23" i="4" s="1"/>
  <c r="H22" i="4"/>
  <c r="I22" i="4" s="1"/>
  <c r="H21" i="4"/>
  <c r="I21" i="4" s="1"/>
  <c r="I20" i="4"/>
  <c r="H20" i="4"/>
  <c r="H19" i="4"/>
  <c r="I19" i="4" s="1"/>
  <c r="H18" i="4"/>
  <c r="I18" i="4" s="1"/>
  <c r="H17" i="4"/>
  <c r="I17" i="4" s="1"/>
  <c r="H16" i="4"/>
  <c r="I16" i="4" s="1"/>
  <c r="I15" i="4"/>
  <c r="H15" i="4"/>
  <c r="I14" i="4"/>
  <c r="H14" i="4"/>
  <c r="H13" i="4"/>
  <c r="I13" i="4" s="1"/>
  <c r="H12" i="4"/>
  <c r="I12" i="4" s="1"/>
  <c r="H11" i="4"/>
  <c r="I11" i="4" s="1"/>
  <c r="F31" i="2"/>
  <c r="F30" i="2"/>
  <c r="F29" i="2"/>
  <c r="F28" i="2"/>
  <c r="F27" i="2"/>
  <c r="F26" i="2"/>
  <c r="F24" i="2"/>
  <c r="F23" i="2"/>
  <c r="F22" i="2"/>
  <c r="F21" i="2"/>
  <c r="F20" i="2"/>
  <c r="F19" i="2"/>
  <c r="F18" i="2"/>
  <c r="F16" i="2"/>
  <c r="F15" i="2"/>
  <c r="F14" i="2"/>
  <c r="F13" i="2"/>
  <c r="F12" i="2"/>
  <c r="F11" i="2"/>
  <c r="F10" i="2"/>
  <c r="F9" i="2"/>
  <c r="F8" i="2"/>
  <c r="F7" i="2"/>
  <c r="F6" i="2"/>
</calcChain>
</file>

<file path=xl/sharedStrings.xml><?xml version="1.0" encoding="utf-8"?>
<sst xmlns="http://schemas.openxmlformats.org/spreadsheetml/2006/main" count="713" uniqueCount="320">
  <si>
    <t>SISTEMA DE GESTIÓN DE SEGURIDAD DE LA INFORMACIÓN (SGSI)
SUNAFIL - SUPERINTENDENCIA NACIONAL DE FISCALIZACIÓN LABORAL</t>
  </si>
  <si>
    <t>1. DATOS GENERALES DE LA ORGANIZACIÓN</t>
  </si>
  <si>
    <t>Denominación</t>
  </si>
  <si>
    <t>Superintendencia Nacional de Fiscalización Laboral — SUNAFIL</t>
  </si>
  <si>
    <t>Naturaleza Jurídica</t>
  </si>
  <si>
    <t>Organismo técnico especializado adscrito al Ministerio de Trabajo y Promoción del Empleo (MTPE), con personería jurídica de derecho público interno.</t>
  </si>
  <si>
    <t>Base Legal de Creación</t>
  </si>
  <si>
    <t>Creada mediante Ley N.º 29981 (15/01/2013); inicio de operaciones el 01/04/2014 tras la transferencia de competencias del MTPE (R.M. N.º 037-2014-TR).</t>
  </si>
  <si>
    <t>RUC</t>
  </si>
  <si>
    <t>20555195444</t>
  </si>
  <si>
    <t>Domicilio Legal (Sede Central)</t>
  </si>
  <si>
    <t>Av. Salaverry 655, Piso 2 (Ministerio de Trabajo) — Jesús María, Lima, Perú.</t>
  </si>
  <si>
    <t>Intendencia Regional Puno</t>
  </si>
  <si>
    <t>Jr. 12 de Octubre N.º 267 — Puno, Perú.</t>
  </si>
  <si>
    <t>Cobertura Nacional</t>
  </si>
  <si>
    <t>26 Intendencias Regionales que cubren los 24 departamentos del país, más puntos de atención descentralizados en Plataformas MAC (p. ej. Juliaca).</t>
  </si>
  <si>
    <t>Personal (2024)</t>
  </si>
  <si>
    <t>855 inspectores operativos a nivel nacional; 81 plazas convocadas para supervisores; 200–400 colaboradores administrativos; 4 inspectores en la sede Puno. Total estimado nacional: 1,000–1,300 personas.</t>
  </si>
  <si>
    <t>Objeto Social</t>
  </si>
  <si>
    <t>Supervisar y fiscalizar el cumplimiento de la normativa sociolaboral y de Seguridad y Salud en el Trabajo (SST); orientar y promover la formalización laboral.</t>
  </si>
  <si>
    <t>Líneas de Actuación</t>
  </si>
  <si>
    <t>PROMUEVE los derechos laborales y de SST; SUPERVISA las políticas y criterios de inspección laboral; FISCALIZA a las empresas y sanciona el incumplimiento de derechos laborales.</t>
  </si>
  <si>
    <t>2. VISIÓN</t>
  </si>
  <si>
    <t>Visión Institucional</t>
  </si>
  <si>
    <t>"Ciudadanía altamente empleable, protegida en sus derechos laborales, que se desenvuelve en un entorno que contribuye al desarrollo sostenible e inclusivo del país, el cual garantiza el empleo digno y productivo, la práctica de relaciones laborales armoniosas y de responsabilidad social."</t>
  </si>
  <si>
    <t>3. MISIÓN</t>
  </si>
  <si>
    <t>Misión Institucional</t>
  </si>
  <si>
    <t>"Promover, supervisar y fiscalizar el cumplimiento de las normas sociolaborales y de seguridad y salud en el trabajo en los empleadores, en favor de las y los trabajadores del régimen de la actividad privada; mediante procesos de prevención y fiscalización oportunos, predictibles, continuos, innovadores, transparentes y desconcentrados, con una rectoría fortalecida del Sistema de Inspección del Trabajo para lograr condiciones de empleo decente y una cultura sostenible de cumplimiento normativo a nivel nacional."</t>
  </si>
  <si>
    <t>4. VALORES INSTITUCIONALES</t>
  </si>
  <si>
    <t>Valores</t>
  </si>
  <si>
    <t>• Conocimiento y competencia: formación técnica y profesional para la eficiencia.
• Honestidad e integridad: verdad, ética y transparencia en el servicio público.
• Cortesía y respeto: trato digno, cordial y empático al ciudadano.
• Objetividad, neutralidad y ecuanimidad: decisiones justas e imparciales.
• Compromiso y responsabilidad: cumplimiento puntual y eficiente orientado al bien común.
• Coherencia entre comportamiento personal y profesional.</t>
  </si>
  <si>
    <t>5. ORGANIGRAMA / ESTRUCTURA ORGANIZACIONAL</t>
  </si>
  <si>
    <t>Tipo de Departamentalización</t>
  </si>
  <si>
    <t>Funcional en el nivel central (agrupación por áreas de soporte y direcciones técnicas) y territorial/divisional en las unidades desconcentradas (intendencias regionales).</t>
  </si>
  <si>
    <t>Tipo de Estructura</t>
  </si>
  <si>
    <t>Vertical-mixta: jerarquía definida desde el Consejo Directivo, la Superintendencia y la Gerencia General hasta las Oficinas, Direcciones y Subdirecciones; combina centralización estratégica con descentralización operativa regional.</t>
  </si>
  <si>
    <t>Niveles Organizativos</t>
  </si>
  <si>
    <t>NIVEL ESTRATÉGICO: Consejo Directivo, Superintendencia, Órgano de Control Institucional, Tribunal de Fiscalización Laboral — definición de políticas, lineamientos y marcos normativos; supervisión de la legalidad y uso de recursos.
NIVEL TÁCTICO: Gerencia General, Oficinas de RR.HH., Administración, TIC, Jurídica, Planeamiento, Direcciones Técnicas — traducción de políticas en planes y procedimientos; coordinación de áreas de soporte y fiscalización.
NIVEL OPERATIVO: Unidades y Subdirecciones especializadas, Subintendencias de Fiscalización, Instrucción y Sanción (Lima y regiones) — ejecución de inspecciones, promoción del cumplimiento normativo y aplicación de sanciones en el territorio.</t>
  </si>
  <si>
    <t>INVENTARIO Y VALORACIÓN DE ACTIVOS DE INFORMACIÓN — SUNAFIL</t>
  </si>
  <si>
    <t>Escala de valoración: 1=Mínimo, 2=Bajo, 3=Moderado, 4=Alto, 5=Muy Alto. El valor Total del activo corresponde al valor más alto entre Confidencialidad (C), Disponibilidad (D) e Integridad (I).</t>
  </si>
  <si>
    <t>Código</t>
  </si>
  <si>
    <t>Activo</t>
  </si>
  <si>
    <t>Confidencialidad (C)</t>
  </si>
  <si>
    <t>Disponibilidad (D)</t>
  </si>
  <si>
    <t>Integridad (I)</t>
  </si>
  <si>
    <t>Valor Total</t>
  </si>
  <si>
    <t>Descripción del Activo</t>
  </si>
  <si>
    <t>INFORMACIÓN Y DATOS</t>
  </si>
  <si>
    <t>IN01</t>
  </si>
  <si>
    <t>Expedientes de inspección laboral</t>
  </si>
  <si>
    <t>Núcleo documental de la actividad inspectiva, gestionado en el SIIT; consultable por el ciudadano con DNI/RUC.</t>
  </si>
  <si>
    <t>IN02</t>
  </si>
  <si>
    <t>Datos personales de trabajadores y empleadores</t>
  </si>
  <si>
    <t>Información de denunciantes y denunciados, validada mediante interconexión con RENIEC.</t>
  </si>
  <si>
    <t>IN03</t>
  </si>
  <si>
    <t>Actas de infracción y resoluciones de multas</t>
  </si>
  <si>
    <t>Documentos del procedimiento sancionador emitidos por las Intendencias Regionales.</t>
  </si>
  <si>
    <t>IN04</t>
  </si>
  <si>
    <t>Información financiera y contable institucional</t>
  </si>
  <si>
    <t>Reportada en los Informes de Evaluación Institucional Anual y seguimiento del PEI.</t>
  </si>
  <si>
    <t>IN05</t>
  </si>
  <si>
    <t>Datos de licitaciones y contratos</t>
  </si>
  <si>
    <t>Publicados en la sección "Proyectos de inversión e Infobras" del Portal de Transparencia.</t>
  </si>
  <si>
    <t>IN06</t>
  </si>
  <si>
    <t>Recursos administrativos y expedientes de sanción</t>
  </si>
  <si>
    <t>Vinculados al procedimiento administrativo sancionador (Ley General de Inspección del Trabajo).</t>
  </si>
  <si>
    <t>IN07</t>
  </si>
  <si>
    <t>Registros del personal inspectivo</t>
  </si>
  <si>
    <t>Base de datos de inspectores habilitados; verificable vía "Identificación Virtual de Inspectores".</t>
  </si>
  <si>
    <t>IN08</t>
  </si>
  <si>
    <t>Documentos de convenios interinstitucionales</t>
  </si>
  <si>
    <t>Incluye transferencias de competencias entre Direcciones Regionales de Trabajo y SUNAFIL.</t>
  </si>
  <si>
    <t>IN09</t>
  </si>
  <si>
    <t>Base de datos del Sistema de Inspección del Trabajo (SIIT)</t>
  </si>
  <si>
    <t>Plataforma central interconectada con RENIEC, SUNAT, STD y PIDE.</t>
  </si>
  <si>
    <t>IN10</t>
  </si>
  <si>
    <t>Reportes de denuncias laborales</t>
  </si>
  <si>
    <t>Generados por el Aplicativo Virtual de Denuncias Laborales, con despliegue nacional progresivo.</t>
  </si>
  <si>
    <t>IN11</t>
  </si>
  <si>
    <t>Documentos normativos institucionales</t>
  </si>
  <si>
    <t>Resoluciones de Superintendencia y Gerencia General que regulan la organización interna.</t>
  </si>
  <si>
    <t>INFRAESTRUCTURA</t>
  </si>
  <si>
    <t>INF01</t>
  </si>
  <si>
    <t>Conexión a internet e infraestructura de red</t>
  </si>
  <si>
    <t>Soporta la interoperabilidad de los sistemas de SUNAFIL con otras entidades del Estado (PIDE).</t>
  </si>
  <si>
    <t>INF02</t>
  </si>
  <si>
    <t>Sistema de Inspección del Trabajo (SIIT)</t>
  </si>
  <si>
    <t>Plataforma tecnológica central para programación de inspecciones, descargos y seguimiento de denuncias.</t>
  </si>
  <si>
    <t>INF03</t>
  </si>
  <si>
    <t>Instalaciones físicas (sede central e intendencias regionales)</t>
  </si>
  <si>
    <t>Incluye sedes desconcentradas como la Plataforma de Inspección de la Zona Sur de Lima Metropolitana.</t>
  </si>
  <si>
    <t>INF04</t>
  </si>
  <si>
    <t>Equipos de oficina y cómputo</t>
  </si>
  <si>
    <t>Parte del inventario de bienes muebles patrimoniales, sujeto a saneamiento administrativo periódico.</t>
  </si>
  <si>
    <t>INF05</t>
  </si>
  <si>
    <t>Sistema de Trámite Documentario (STD)</t>
  </si>
  <si>
    <t>Interconectado con el SIIT y el aplicativo de denuncias laborales para el flujo documentario interno.</t>
  </si>
  <si>
    <t>INF06</t>
  </si>
  <si>
    <t>Bienes muebles patrimoniales</t>
  </si>
  <si>
    <t>Regulados por la Directiva N.º 0006-2021-EF/54.01 del MEF.</t>
  </si>
  <si>
    <t>INF07</t>
  </si>
  <si>
    <t>Plataforma "SUNAFIL en Línea"</t>
  </si>
  <si>
    <t>Portal de servicios digitales: mesa de partes virtual, consulta de expedientes, casilla electrónica.</t>
  </si>
  <si>
    <t>RECURSOS HUMANOS</t>
  </si>
  <si>
    <t>RH01</t>
  </si>
  <si>
    <t>Personal de soporte técnico e informática</t>
  </si>
  <si>
    <t>Responsable del mantenimiento del SIIT, el STD y los aplicativos digitales institucionales.</t>
  </si>
  <si>
    <t>RH02</t>
  </si>
  <si>
    <t>Personal de seguridad institucional</t>
  </si>
  <si>
    <t>Encargado del resguardo físico de la sede central y las intendencias regionales.</t>
  </si>
  <si>
    <t>RH03</t>
  </si>
  <si>
    <t>Personal de dirección y alta dirección</t>
  </si>
  <si>
    <t>Incluye a la Superintendencia y funcionarios responsables de acceso a la información.</t>
  </si>
  <si>
    <t>RH04</t>
  </si>
  <si>
    <t>Personal administrativo</t>
  </si>
  <si>
    <t>Adscrito principalmente a la Oficina General de Administración y la Oficina de Recursos Humanos.</t>
  </si>
  <si>
    <t>RH05</t>
  </si>
  <si>
    <t>Cuerpo de Inspectores de Trabajo</t>
  </si>
  <si>
    <t>Personal inspectivo habilitado bajo la Ley N.º 30814 de Fortalecimiento del Sistema de Inspección.</t>
  </si>
  <si>
    <t>RH06</t>
  </si>
  <si>
    <t>Trabajadores y empleadores fiscalizados</t>
  </si>
  <si>
    <t>Usuarios externos que interactúan con SUNAFIL mediante el aplicativo de denuncias laborales.</t>
  </si>
  <si>
    <t>IDENTIFICACIÓN DE AMENAZAS Y VULNERABILIDADES POR ACTIVO — SUNAFIL</t>
  </si>
  <si>
    <t>Escala de Nivel de Vulnerabilidad e Impacto: 1=Mínimo … 5=Muy Alto.</t>
  </si>
  <si>
    <t>Código Activo</t>
  </si>
  <si>
    <t>N°</t>
  </si>
  <si>
    <t>Vulnerabilidad</t>
  </si>
  <si>
    <t>Nivel Vuln.</t>
  </si>
  <si>
    <t>Amenaza</t>
  </si>
  <si>
    <t>Impacto</t>
  </si>
  <si>
    <t>V1</t>
  </si>
  <si>
    <t>Acceso no autorizado al SIIT por terceros</t>
  </si>
  <si>
    <t>Alteración o extracción de expedientes de inspección</t>
  </si>
  <si>
    <t>V2</t>
  </si>
  <si>
    <t>Falta de cifrado de expedientes almacenados</t>
  </si>
  <si>
    <t>Interceptación/fuga de expedientes sin cifrar</t>
  </si>
  <si>
    <t>V3</t>
  </si>
  <si>
    <t>Ausencia de copias de seguridad periódicas</t>
  </si>
  <si>
    <t>Pérdida irreversible de expedientes por fallo de hardware</t>
  </si>
  <si>
    <t>Datos personales de trabajadores/empleadores</t>
  </si>
  <si>
    <t>Falta de anonimización de datos de denunciantes</t>
  </si>
  <si>
    <t>Identificación de denunciante con riesgo de represalia laboral</t>
  </si>
  <si>
    <t>Brecha de seguridad en interconexión con RENIEC</t>
  </si>
  <si>
    <t>Exfiltración masiva de datos personales vía interconexión</t>
  </si>
  <si>
    <t>Insuficiente capacitación en Ley 29733 (protección de datos)</t>
  </si>
  <si>
    <t>Divulgación accidental de datos personales</t>
  </si>
  <si>
    <t>Alteración de actas sin control de versiones</t>
  </si>
  <si>
    <t>Modificación fraudulenta de actas para favorecer a un empleador (corrupción)</t>
  </si>
  <si>
    <t>Acceso no autorizado antes de notificación oficial</t>
  </si>
  <si>
    <t>Filtración anticipada que permite al infractor evadir la sanción</t>
  </si>
  <si>
    <t>Falta de firma digital / integridad documental</t>
  </si>
  <si>
    <t>Cuestionamiento de validez legal del acta</t>
  </si>
  <si>
    <t>Contraseñas débiles en sistemas contables</t>
  </si>
  <si>
    <t>Acceso no autorizado por fuerza bruta</t>
  </si>
  <si>
    <t>Falta de segregación de funciones</t>
  </si>
  <si>
    <t>Manipulación de registros contables para beneficio personal</t>
  </si>
  <si>
    <t>Insuficiente registro de auditoría</t>
  </si>
  <si>
    <t>Dificultad para detectar irregularidades financieras</t>
  </si>
  <si>
    <t>Filtración de información antes de publicación</t>
  </si>
  <si>
    <t>Ventaja indebida a un postor</t>
  </si>
  <si>
    <t>Manipulación de criterios de evaluación</t>
  </si>
  <si>
    <t>Direccionamiento de contrataciones</t>
  </si>
  <si>
    <t>Falta de trazabilidad del proceso</t>
  </si>
  <si>
    <t>Imposibilidad de auditar ante una denuncia</t>
  </si>
  <si>
    <t>Acceso no autorizado a expedientes en trámite</t>
  </si>
  <si>
    <t>Divulgación no autorizada del expediente</t>
  </si>
  <si>
    <t>Extravío físico en tránsito entre áreas</t>
  </si>
  <si>
    <t>Pérdida de expedientes físicos</t>
  </si>
  <si>
    <t>Falta de control de acceso por roles</t>
  </si>
  <si>
    <t>Acceso indebido de personal sin competencia</t>
  </si>
  <si>
    <t>Suplantación de identidad de inspectores no detectada</t>
  </si>
  <si>
    <t>Persona no habilitada se hace pasar por inspector</t>
  </si>
  <si>
    <t>Base de habilitación desactualizada</t>
  </si>
  <si>
    <t>Verificación errónea de habilitación</t>
  </si>
  <si>
    <t>Exposición de datos personales de inspectores en el portal</t>
  </si>
  <si>
    <t>Uso de datos para hostigamiento/amenazas</t>
  </si>
  <si>
    <t>Repositorios no centralizados</t>
  </si>
  <si>
    <t>Pérdida o extravío de convenios firmados</t>
  </si>
  <si>
    <t>Falta de control de versiones</t>
  </si>
  <si>
    <t>Uso de versión obsoleta con cláusulas ya modificadas</t>
  </si>
  <si>
    <t>Acceso no restringido a cláusulas confidenciales</t>
  </si>
  <si>
    <t>Divulgación de cláusulas confidenciales</t>
  </si>
  <si>
    <t>Base de datos del SIIT</t>
  </si>
  <si>
    <t>Vulnerabilidades de software no parchadas</t>
  </si>
  <si>
    <t>Explotación de vulnerabilidad conocida</t>
  </si>
  <si>
    <t>Dependencia crítica de RENIEC/SUNAT/PIDE sin contingencia</t>
  </si>
  <si>
    <t>Caída del servicio interoperado paraliza el SIIT</t>
  </si>
  <si>
    <t>Segmentación de red insuficiente</t>
  </si>
  <si>
    <t>Movimiento lateral de un atacante hacia el SIIT</t>
  </si>
  <si>
    <t>Riesgo de identificación de denunciantes</t>
  </si>
  <si>
    <t>Filtración de identidad → represalia del empleador</t>
  </si>
  <si>
    <t>Falta de cifrado en el aplicativo de denuncias</t>
  </si>
  <si>
    <t>Interceptación de denuncias en tránsito</t>
  </si>
  <si>
    <t>Ausencia de protocolo de protección al denunciante</t>
  </si>
  <si>
    <t>Desincentivo a denunciar por temor a exposición</t>
  </si>
  <si>
    <t>Publicación de versiones desactualizadas</t>
  </si>
  <si>
    <t>Aplicación de normativa derogada</t>
  </si>
  <si>
    <t>Falta de control de integridad</t>
  </si>
  <si>
    <t>Alteración no autorizada de documento publicado</t>
  </si>
  <si>
    <t>Acceso administrativo compartido para editar el portal</t>
  </si>
  <si>
    <t>Modificación no autorizada por credenciales compartidas</t>
  </si>
  <si>
    <t>Conexión a internet / infraestructura de red</t>
  </si>
  <si>
    <t>Ausencia de redundancia de enlace en intendencias</t>
  </si>
  <si>
    <t>Corte del enlace aísla a una intendencia regional</t>
  </si>
  <si>
    <t>Falta de monitoreo/detección de intrusos</t>
  </si>
  <si>
    <t>Intrusión no detectada a tiempo</t>
  </si>
  <si>
    <t>Configuración insegura de firewalls</t>
  </si>
  <si>
    <t>Acceso no autorizado desde internet</t>
  </si>
  <si>
    <t>Ataques de malware/ransomware</t>
  </si>
  <si>
    <t>Cifrado de servidores y exigencia de rescate</t>
  </si>
  <si>
    <t>Falta de actualización de software</t>
  </si>
  <si>
    <t>Explotación de vulnerabilidades no parchadas</t>
  </si>
  <si>
    <t>Autenticación débil (sin doble factor)</t>
  </si>
  <si>
    <t>Compromiso de cuentas por robo de credenciales</t>
  </si>
  <si>
    <t>Instalaciones físicas (sede + intendencias)</t>
  </si>
  <si>
    <t>Control de acceso físico deficiente en intendencias</t>
  </si>
  <si>
    <t>Ingreso no autorizado a oficinas regionales</t>
  </si>
  <si>
    <t>Falta de videovigilancia en algunas sedes</t>
  </si>
  <si>
    <t>Robo/daño sin evidencia para esclarecer</t>
  </si>
  <si>
    <t>Protección insuficiente ante sismos</t>
  </si>
  <si>
    <t>Daño a instalaciones y equipos por sismo</t>
  </si>
  <si>
    <t>Equipos sin antivirus actualizado</t>
  </si>
  <si>
    <t>Infección de equipos con malware</t>
  </si>
  <si>
    <t>Falta de inventario/etiquetado de activos</t>
  </si>
  <si>
    <t>Pérdida de control sobre equipos asignados</t>
  </si>
  <si>
    <t>Riesgo de robo de laptops de inspectores en campo</t>
  </si>
  <si>
    <t>Sustracción de laptop con expedientes</t>
  </si>
  <si>
    <t>Falta de cifrado en transferencia STD-SIIT</t>
  </si>
  <si>
    <t>Intercepción de documentos en tránsito</t>
  </si>
  <si>
    <t>Fallos de sincronización</t>
  </si>
  <si>
    <t>Pérdida de trazabilidad en un procedimiento sancionador</t>
  </si>
  <si>
    <t>Acceso no segmentado por perfil</t>
  </si>
  <si>
    <t>Acceso fuera de competencia funcional</t>
  </si>
  <si>
    <t>Control manual propenso a error</t>
  </si>
  <si>
    <t>Registro incorrecto en saneamiento de bienes</t>
  </si>
  <si>
    <t>Falta de verificación física periódica</t>
  </si>
  <si>
    <t>Discrepancia inventario vs. existencia real</t>
  </si>
  <si>
    <t>Riesgo de sustracción en proceso de baja</t>
  </si>
  <si>
    <t>Sustracción de bienes antes de disposición final</t>
  </si>
  <si>
    <t>Exposición a ataques DDoS</t>
  </si>
  <si>
    <t>Denegación de servicio deja fuera de línea la mesa de partes virtual</t>
  </si>
  <si>
    <t>Vulnerabilidades web sin pentesting reciente</t>
  </si>
  <si>
    <t>Explotación (inyección SQL/XSS) del portal</t>
  </si>
  <si>
    <t>Alta concurrencia sin balanceo de carga</t>
  </si>
  <si>
    <t>Caída del portal en campañas masivas de consulta</t>
  </si>
  <si>
    <t>Uso indebido de privilegios de administrador</t>
  </si>
  <si>
    <t>Abuso de privilegios para alterar registros del SIIT</t>
  </si>
  <si>
    <t>Rotación de personal sin revocación de accesos</t>
  </si>
  <si>
    <t>Ex trabajador conserva acceso activo tras su cese</t>
  </si>
  <si>
    <t>Falta de segregación desarrollo/producción</t>
  </si>
  <si>
    <t>Cambios no controlados afectan disponibilidad</t>
  </si>
  <si>
    <t>Procedimientos de control de acceso desactualizados</t>
  </si>
  <si>
    <t>Ingreso de personas no autorizadas</t>
  </si>
  <si>
    <t>Falta de capacitación ante incidentes</t>
  </si>
  <si>
    <t>Respuesta tardía ante incidente de seguridad física</t>
  </si>
  <si>
    <t>Personal insuficiente fuera de horario laboral</t>
  </si>
  <si>
    <t>Vulnerabilidad nocturna/fin de semana de instalaciones</t>
  </si>
  <si>
    <t>Alta exposición a phishing dirigido (spear phishing)</t>
  </si>
  <si>
    <t>Phishing a directivos para obtener credenciales o autorizar pagos fraudulentos</t>
  </si>
  <si>
    <t>Uso de dispositivos personales sin control (BYOD)</t>
  </si>
  <si>
    <t>Fuga de información por dispositivo no gestionado</t>
  </si>
  <si>
    <t>Falta de doble factor en correo institucional</t>
  </si>
  <si>
    <t>Compromiso de cuenta de correo de un directivo</t>
  </si>
  <si>
    <t>Falta de capacitación periódica en seguridad</t>
  </si>
  <si>
    <t>Error humano expone información</t>
  </si>
  <si>
    <t>Contraseñas débiles o compartidas</t>
  </si>
  <si>
    <t>Acceso no autorizado por contraseña compartida</t>
  </si>
  <si>
    <t>Manejo de documentos físicos sin protocolo de custodia</t>
  </si>
  <si>
    <t>Extravío de documentos administrativos</t>
  </si>
  <si>
    <t>Riesgo de suplantación durante actuaciones en campo</t>
  </si>
  <si>
    <t>Persona no autorizada se identifica falsamente como inspector</t>
  </si>
  <si>
    <t>Transmisión por canales no oficiales (WhatsApp, correo personal)</t>
  </si>
  <si>
    <t>Filtración de información sensible de inspecciones</t>
  </si>
  <si>
    <t>Pérdida/robo de dispositivos con evidencia</t>
  </si>
  <si>
    <t>Sustracción de dispositivo con evidencia de una inspección</t>
  </si>
  <si>
    <t>Exposición de datos al presentar una denuncia</t>
  </si>
  <si>
    <t>Exposición involuntaria de datos del denunciante</t>
  </si>
  <si>
    <t>Riesgo de ingeniería social</t>
  </si>
  <si>
    <t>Empleador obtiene por engaño información de una denuncia en curso</t>
  </si>
  <si>
    <t>Uso fraudulento de identidad de terceros</t>
  </si>
  <si>
    <t>Presentación de denuncias falsas con identidad suplantada</t>
  </si>
  <si>
    <t>MATRIZ DE RIESGO — SUNAFIL  (Riesgo = Nivel de Vulnerabilidad × Impacto)</t>
  </si>
  <si>
    <t>ESCALA DE NIVELES DE RIESGO</t>
  </si>
  <si>
    <t>Tipo de Riesgo</t>
  </si>
  <si>
    <t>Rango de Valor</t>
  </si>
  <si>
    <t>Acción Requerida</t>
  </si>
  <si>
    <t>Gestión Requerida</t>
  </si>
  <si>
    <t>Riesgo Catastrófico</t>
  </si>
  <si>
    <t>19 – 25</t>
  </si>
  <si>
    <t>Requiere acciones inmediatas para evitar la pérdida de confidencialidad, integridad y disponibilidad de la información.</t>
  </si>
  <si>
    <t>Mitigar</t>
  </si>
  <si>
    <t>Riesgo Alto</t>
  </si>
  <si>
    <t>9 – 18</t>
  </si>
  <si>
    <t>Requiere acciones rápidas por parte de la Alta Dirección para disminuir el riesgo.</t>
  </si>
  <si>
    <t>Riesgo Moderado</t>
  </si>
  <si>
    <t>1 – 8</t>
  </si>
  <si>
    <t>Se requiere seguir ejecutando los controles definidos y revisar su eficacia.</t>
  </si>
  <si>
    <t>Aceptar</t>
  </si>
  <si>
    <t>Riesgo
(V×I)</t>
  </si>
  <si>
    <t>Nivel de Riesgo</t>
  </si>
  <si>
    <t>CONTROLES Y MEDIDAS PROPUESTAS — RIESGOS PRIORITARIOS</t>
  </si>
  <si>
    <t>Activo y Nivel de Riesgo</t>
  </si>
  <si>
    <t>Amenaza Principal</t>
  </si>
  <si>
    <t>Tipo de Control</t>
  </si>
  <si>
    <t>Controles y Medidas Propuestas</t>
  </si>
  <si>
    <t>Plataforma SIIT (Servidores)
Riesgo: 20 — Catastrófico</t>
  </si>
  <si>
    <t>Ransomware / ciberataque que cifre las bases de datos impidiendo el trabajo a nivel nacional.</t>
  </si>
  <si>
    <t>Técnico y Administrativo</t>
  </si>
  <si>
    <t>1. Implementar backups inmutables (copias de seguridad que no pueden ser borradas ni cifradas) alojados fuera de la red principal.
2. Instalar soluciones EDR (Endpoint Detection and Response) impulsadas por IA en todos los servidores.
3. Diseñar un Plan de Respuesta a Incidentes (IRP) específico para secuestro de datos.</t>
  </si>
  <si>
    <t>Reportes de Denuncias Laborales
Riesgo: 25 — Catastrófico</t>
  </si>
  <si>
    <t>Filtración de la identidad del denunciante, desencadenando represalias por parte del empleador.</t>
  </si>
  <si>
    <t>Técnico</t>
  </si>
  <si>
    <t>1. Aplicar enmascaramiento de datos (data masking) para que la identidad del denunciante esté cifrada y oculta incluso para operadores sin nivel de autorización máximo.
2. Trazabilidad inalterable (logs) para auditar qué usuario exacto accedió a ver una denuncia.</t>
  </si>
  <si>
    <t>Dirección y Alta Dirección
Riesgo: 25 — Catastrófico</t>
  </si>
  <si>
    <t>Phishing / suplantación para aprobar pagos fraudulentos o robar credenciales críticas.</t>
  </si>
  <si>
    <t>1. Forzar el uso de Autenticación Multifactor (MFA) para todo acceso a correos y plataformas institucionales.
2. Realizar simulacros de phishing mensuales sin previo aviso al personal directivo.
3. Implementar filtros anti-spam avanzados.</t>
  </si>
  <si>
    <t>Cuerpo de Inspectores de Trabajo
Riesgo: 20 — Catastrófico</t>
  </si>
  <si>
    <t>Suplantación física, donde alguien no habilitado se hace pasar por inspector para extorsionar empresas.</t>
  </si>
  <si>
    <t>Físico y Técnico</t>
  </si>
  <si>
    <t>1. Emisión de fotochecks con código QR dinámico, verificable en tiempo real en la base de datos oficial de SUNAFIL.
2. Renovación periódica de credenciales con medidas holográficas antifalsificación.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</si>
</sst>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4"/>
      <color rgb="FFFFFFFF"/>
      <name val="Arial"/>
      <charset val="1"/>
    </font>
    <font>
      <b/>
      <sz val="12"/>
      <color rgb="FFFFFFFF"/>
      <name val="Arial"/>
      <charset val="1"/>
    </font>
    <font>
      <b/>
      <sz val="10"/>
      <color rgb="FFFFFFFF"/>
      <name val="Arial"/>
      <charset val="1"/>
    </font>
    <font>
      <sz val="10"/>
      <name val="Arial"/>
      <charset val="1"/>
    </font>
    <font>
      <i/>
      <sz val="9"/>
      <color rgb="FF595959"/>
      <name val="Arial"/>
      <charset val="1"/>
    </font>
    <font>
      <b/>
      <sz val="11"/>
      <color rgb="FF1F3864"/>
      <name val="Arial"/>
      <charset val="1"/>
    </font>
    <font>
      <b/>
      <sz val="10"/>
      <name val="Arial"/>
      <charset val="1"/>
    </font>
    <font>
      <sz val="9"/>
      <name val="Arial"/>
      <charset val="1"/>
    </font>
    <font>
      <b/>
      <sz val="11"/>
      <color rgb="FFFFFFFF"/>
      <name val="Arial"/>
      <charset val="1"/>
    </font>
    <font>
      <b/>
      <sz val="9"/>
      <name val="Arial"/>
      <charset val="1"/>
    </font>
  </fonts>
  <fills count="9">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8EA9DB"/>
        <bgColor rgb="FF969696"/>
      </patternFill>
    </fill>
    <fill>
      <patternFill patternType="solid">
        <fgColor rgb="FFC00000"/>
        <bgColor rgb="FF800000"/>
      </patternFill>
    </fill>
    <fill>
      <patternFill patternType="solid">
        <fgColor rgb="FFED7D31"/>
        <bgColor rgb="FFF8696B"/>
      </patternFill>
    </fill>
    <fill>
      <patternFill patternType="solid">
        <fgColor rgb="FFA9D18E"/>
        <bgColor rgb="FFB7B7B7"/>
      </patternFill>
    </fill>
    <fill>
      <patternFill patternType="solid">
        <fgColor rgb="FFFCE4D6"/>
        <bgColor rgb="FFFFE699"/>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s>
  <cellStyleXfs count="1">
    <xf numFmtId="0" fontId="0" fillId="0" borderId="0"/>
  </cellStyleXfs>
  <cellXfs count="28">
    <xf numFmtId="0" fontId="0" fillId="0" borderId="0" xfId="0"/>
    <xf numFmtId="0" fontId="3" fillId="3" borderId="2" xfId="0" applyFont="1" applyFill="1" applyBorder="1" applyAlignment="1">
      <alignment horizontal="center" vertical="center" wrapText="1"/>
    </xf>
    <xf numFmtId="0" fontId="3" fillId="7" borderId="1" xfId="0" applyFont="1" applyFill="1" applyBorder="1" applyAlignment="1">
      <alignment horizontal="center" vertical="center"/>
    </xf>
    <xf numFmtId="0" fontId="3" fillId="6" borderId="1" xfId="0" applyFont="1" applyFill="1" applyBorder="1" applyAlignment="1">
      <alignment horizontal="center" vertical="center"/>
    </xf>
    <xf numFmtId="0" fontId="7" fillId="0" borderId="1" xfId="0" applyFont="1" applyBorder="1" applyAlignment="1">
      <alignment horizontal="center" vertical="center"/>
    </xf>
    <xf numFmtId="0" fontId="3" fillId="5"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9" fillId="2" borderId="1" xfId="0" applyFont="1" applyFill="1" applyBorder="1" applyAlignment="1">
      <alignment horizontal="left" vertical="center" indent="1"/>
    </xf>
    <xf numFmtId="0" fontId="8" fillId="0" borderId="1" xfId="0" applyFont="1" applyBorder="1" applyAlignment="1">
      <alignment horizontal="left" vertical="center" wrapText="1"/>
    </xf>
    <xf numFmtId="0" fontId="8" fillId="0" borderId="1" xfId="0" applyFont="1" applyBorder="1" applyAlignment="1">
      <alignment horizontal="center" vertical="center"/>
    </xf>
    <xf numFmtId="0" fontId="5" fillId="0" borderId="0" xfId="0" applyFont="1" applyBorder="1" applyAlignment="1">
      <alignment horizontal="left" vertical="center"/>
    </xf>
    <xf numFmtId="0" fontId="6" fillId="4" borderId="1" xfId="0" applyFont="1" applyFill="1" applyBorder="1" applyAlignment="1">
      <alignment horizontal="left" vertical="center" indent="1"/>
    </xf>
    <xf numFmtId="0" fontId="5" fillId="0" borderId="0" xfId="0" applyFont="1" applyBorder="1" applyAlignment="1">
      <alignment horizontal="left" vertical="center" wrapText="1"/>
    </xf>
    <xf numFmtId="0" fontId="2" fillId="2" borderId="1" xfId="0" applyFont="1" applyFill="1" applyBorder="1" applyAlignment="1">
      <alignment horizontal="left" vertical="center" indent="1"/>
    </xf>
    <xf numFmtId="0" fontId="1" fillId="2" borderId="1" xfId="0" applyFont="1" applyFill="1" applyBorder="1" applyAlignment="1">
      <alignment horizontal="center" vertical="center" wrapText="1"/>
    </xf>
    <xf numFmtId="0" fontId="3" fillId="3" borderId="1" xfId="0" applyFont="1" applyFill="1" applyBorder="1" applyAlignment="1">
      <alignment horizontal="left" vertical="center" wrapText="1" indent="1"/>
    </xf>
    <xf numFmtId="0" fontId="4" fillId="0" borderId="1" xfId="0" applyFont="1" applyBorder="1" applyAlignment="1">
      <alignment horizontal="left" vertical="top" wrapText="1"/>
    </xf>
    <xf numFmtId="0" fontId="3" fillId="3" borderId="1" xfId="0" applyFont="1" applyFill="1" applyBorder="1" applyAlignment="1">
      <alignment horizontal="center" vertical="center" wrapText="1"/>
    </xf>
    <xf numFmtId="0" fontId="7"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top" wrapText="1"/>
    </xf>
    <xf numFmtId="0" fontId="8" fillId="0" borderId="1" xfId="0" applyFont="1" applyBorder="1" applyAlignment="1">
      <alignment horizontal="center" vertical="top"/>
    </xf>
    <xf numFmtId="0" fontId="10" fillId="0" borderId="1" xfId="0" applyFont="1" applyBorder="1" applyAlignment="1">
      <alignment horizontal="center" vertical="top"/>
    </xf>
    <xf numFmtId="0" fontId="10" fillId="0" borderId="1" xfId="0" applyFont="1" applyBorder="1" applyAlignment="1">
      <alignment horizontal="center" vertical="top"/>
    </xf>
    <xf numFmtId="0" fontId="10" fillId="8" borderId="1" xfId="0" applyFont="1" applyFill="1" applyBorder="1" applyAlignment="1">
      <alignment horizontal="left" vertical="center" wrapText="1"/>
    </xf>
    <xf numFmtId="0" fontId="8" fillId="0" borderId="1" xfId="0" applyFont="1" applyBorder="1" applyAlignment="1">
      <alignment horizontal="left" vertical="top" wrapText="1"/>
    </xf>
  </cellXfs>
  <cellStyles count="1">
    <cellStyle name="Normal" xfId="0" builtinId="0"/>
  </cellStyles>
  <dxfs count="8">
    <dxf>
      <fill>
        <patternFill>
          <bgColor rgb="FFF8696B"/>
        </patternFill>
      </fill>
    </dxf>
    <dxf>
      <fill>
        <patternFill>
          <bgColor rgb="FF63BE7B"/>
        </patternFill>
      </fill>
    </dxf>
    <dxf>
      <fill>
        <patternFill>
          <bgColor rgb="FFFFEB84"/>
        </patternFill>
      </fill>
    </dxf>
    <dxf>
      <fill>
        <patternFill>
          <bgColor rgb="FFF8696B"/>
        </patternFill>
      </fill>
    </dxf>
    <dxf>
      <fill>
        <patternFill>
          <bgColor rgb="FFF8CBAD"/>
        </patternFill>
      </fill>
    </dxf>
    <dxf>
      <fill>
        <patternFill>
          <bgColor rgb="FFFFE699"/>
        </patternFill>
      </fill>
    </dxf>
    <dxf>
      <fill>
        <patternFill>
          <bgColor rgb="FFFFE699"/>
        </patternFill>
      </fill>
    </dxf>
    <dxf>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8EA9DB"/>
      <rgbColor rgb="FF993366"/>
      <rgbColor rgb="FFFCE4D6"/>
      <rgbColor rgb="FFCCFFFF"/>
      <rgbColor rgb="FF660066"/>
      <rgbColor rgb="FFF8696B"/>
      <rgbColor rgb="FF0066CC"/>
      <rgbColor rgb="FFCCCCFF"/>
      <rgbColor rgb="FF000080"/>
      <rgbColor rgb="FFFF00FF"/>
      <rgbColor rgb="FFFFFF00"/>
      <rgbColor rgb="FF00FFFF"/>
      <rgbColor rgb="FF800080"/>
      <rgbColor rgb="FF800000"/>
      <rgbColor rgb="FF008080"/>
      <rgbColor rgb="FF0000FF"/>
      <rgbColor rgb="FF00CCFF"/>
      <rgbColor rgb="FFCCFFFF"/>
      <rgbColor rgb="FFFFE699"/>
      <rgbColor rgb="FFFFEB84"/>
      <rgbColor rgb="FFA9D18E"/>
      <rgbColor rgb="FFFF99CC"/>
      <rgbColor rgb="FFCC99FF"/>
      <rgbColor rgb="FFF8CBAD"/>
      <rgbColor rgb="FF3366FF"/>
      <rgbColor rgb="FF63BE7B"/>
      <rgbColor rgb="FF99CC00"/>
      <rgbColor rgb="FFFFCC00"/>
      <rgbColor rgb="FFFF9900"/>
      <rgbColor rgb="FFED7D31"/>
      <rgbColor rgb="FF595959"/>
      <rgbColor rgb="FF969696"/>
      <rgbColor rgb="FF1F3864"/>
      <rgbColor rgb="FF339966"/>
      <rgbColor rgb="FF003300"/>
      <rgbColor rgb="FF333300"/>
      <rgbColor rgb="FF993300"/>
      <rgbColor rgb="FF993366"/>
      <rgbColor rgb="FF2E5C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showGridLines="0" tabSelected="1" zoomScaleNormal="100" workbookViewId="0">
      <selection activeCell="B6" sqref="B6"/>
    </sheetView>
  </sheetViews>
  <sheetFormatPr baseColWidth="10" defaultColWidth="8.6640625" defaultRowHeight="14.4" x14ac:dyDescent="0.3"/>
  <cols>
    <col min="1" max="1" width="28" customWidth="1"/>
    <col min="2" max="2" width="100" customWidth="1"/>
  </cols>
  <sheetData>
    <row r="1" spans="1:2" ht="45.75" customHeight="1" x14ac:dyDescent="0.3">
      <c r="A1" s="14" t="s">
        <v>0</v>
      </c>
      <c r="B1" s="14"/>
    </row>
    <row r="3" spans="1:2" ht="15.6" x14ac:dyDescent="0.3">
      <c r="A3" s="13" t="s">
        <v>1</v>
      </c>
      <c r="B3" s="13"/>
    </row>
    <row r="4" spans="1:2" ht="27.75" customHeight="1" x14ac:dyDescent="0.3">
      <c r="A4" s="15" t="s">
        <v>2</v>
      </c>
      <c r="B4" s="16" t="s">
        <v>3</v>
      </c>
    </row>
    <row r="5" spans="1:2" ht="42" customHeight="1" x14ac:dyDescent="0.3">
      <c r="A5" s="15" t="s">
        <v>4</v>
      </c>
      <c r="B5" s="16" t="s">
        <v>5</v>
      </c>
    </row>
    <row r="6" spans="1:2" ht="42" customHeight="1" x14ac:dyDescent="0.3">
      <c r="A6" s="15" t="s">
        <v>6</v>
      </c>
      <c r="B6" s="16" t="s">
        <v>7</v>
      </c>
    </row>
    <row r="7" spans="1:2" ht="18" customHeight="1" x14ac:dyDescent="0.3">
      <c r="A7" s="15" t="s">
        <v>8</v>
      </c>
      <c r="B7" s="16" t="s">
        <v>9</v>
      </c>
    </row>
    <row r="8" spans="1:2" ht="27.75" customHeight="1" x14ac:dyDescent="0.3">
      <c r="A8" s="15" t="s">
        <v>10</v>
      </c>
      <c r="B8" s="16" t="s">
        <v>11</v>
      </c>
    </row>
    <row r="9" spans="1:2" ht="27.75" customHeight="1" x14ac:dyDescent="0.3">
      <c r="A9" s="15" t="s">
        <v>12</v>
      </c>
      <c r="B9" s="16" t="s">
        <v>13</v>
      </c>
    </row>
    <row r="10" spans="1:2" ht="42" customHeight="1" x14ac:dyDescent="0.3">
      <c r="A10" s="15" t="s">
        <v>14</v>
      </c>
      <c r="B10" s="16" t="s">
        <v>15</v>
      </c>
    </row>
    <row r="11" spans="1:2" ht="55.5" customHeight="1" x14ac:dyDescent="0.3">
      <c r="A11" s="15" t="s">
        <v>16</v>
      </c>
      <c r="B11" s="16" t="s">
        <v>17</v>
      </c>
    </row>
    <row r="12" spans="1:2" ht="42" customHeight="1" x14ac:dyDescent="0.3">
      <c r="A12" s="15" t="s">
        <v>18</v>
      </c>
      <c r="B12" s="16" t="s">
        <v>19</v>
      </c>
    </row>
    <row r="13" spans="1:2" ht="42" customHeight="1" x14ac:dyDescent="0.3">
      <c r="A13" s="15" t="s">
        <v>20</v>
      </c>
      <c r="B13" s="16" t="s">
        <v>21</v>
      </c>
    </row>
    <row r="15" spans="1:2" ht="15.6" x14ac:dyDescent="0.3">
      <c r="A15" s="13" t="s">
        <v>22</v>
      </c>
      <c r="B15" s="13"/>
    </row>
    <row r="16" spans="1:2" ht="69.75" customHeight="1" x14ac:dyDescent="0.3">
      <c r="A16" s="15" t="s">
        <v>23</v>
      </c>
      <c r="B16" s="16" t="s">
        <v>24</v>
      </c>
    </row>
    <row r="18" spans="1:2" ht="15.6" x14ac:dyDescent="0.3">
      <c r="A18" s="13" t="s">
        <v>25</v>
      </c>
      <c r="B18" s="13"/>
    </row>
    <row r="19" spans="1:2" ht="84.75" customHeight="1" x14ac:dyDescent="0.3">
      <c r="A19" s="15" t="s">
        <v>26</v>
      </c>
      <c r="B19" s="16" t="s">
        <v>27</v>
      </c>
    </row>
    <row r="21" spans="1:2" ht="15.6" x14ac:dyDescent="0.3">
      <c r="A21" s="13" t="s">
        <v>28</v>
      </c>
      <c r="B21" s="13"/>
    </row>
    <row r="22" spans="1:2" ht="99.75" customHeight="1" x14ac:dyDescent="0.3">
      <c r="A22" s="15" t="s">
        <v>29</v>
      </c>
      <c r="B22" s="16" t="s">
        <v>30</v>
      </c>
    </row>
    <row r="24" spans="1:2" ht="15.6" x14ac:dyDescent="0.3">
      <c r="A24" s="13" t="s">
        <v>31</v>
      </c>
      <c r="B24" s="13"/>
    </row>
    <row r="25" spans="1:2" ht="42" customHeight="1" x14ac:dyDescent="0.3">
      <c r="A25" s="15" t="s">
        <v>32</v>
      </c>
      <c r="B25" s="16" t="s">
        <v>33</v>
      </c>
    </row>
    <row r="26" spans="1:2" ht="55.5" customHeight="1" x14ac:dyDescent="0.3">
      <c r="A26" s="15" t="s">
        <v>34</v>
      </c>
      <c r="B26" s="16" t="s">
        <v>35</v>
      </c>
    </row>
    <row r="27" spans="1:2" ht="169.5" customHeight="1" x14ac:dyDescent="0.3">
      <c r="A27" s="15" t="s">
        <v>36</v>
      </c>
      <c r="B27" s="16" t="s">
        <v>37</v>
      </c>
    </row>
  </sheetData>
  <mergeCells count="6">
    <mergeCell ref="A24:B24"/>
    <mergeCell ref="A1:B1"/>
    <mergeCell ref="A3:B3"/>
    <mergeCell ref="A15:B15"/>
    <mergeCell ref="A18:B18"/>
    <mergeCell ref="A21:B2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showGridLines="0" zoomScaleNormal="100" workbookViewId="0">
      <pane ySplit="4" topLeftCell="A17" activePane="bottomLeft" state="frozen"/>
      <selection pane="bottomLeft" sqref="A1:G1"/>
    </sheetView>
  </sheetViews>
  <sheetFormatPr baseColWidth="10" defaultColWidth="8.6640625" defaultRowHeight="14.4" x14ac:dyDescent="0.3"/>
  <cols>
    <col min="1" max="1" width="10" customWidth="1"/>
    <col min="2" max="2" width="42" customWidth="1"/>
    <col min="3" max="6" width="12" customWidth="1"/>
    <col min="7" max="7" width="45" customWidth="1"/>
  </cols>
  <sheetData>
    <row r="1" spans="1:7" ht="31.5" customHeight="1" x14ac:dyDescent="0.3">
      <c r="A1" s="14" t="s">
        <v>38</v>
      </c>
      <c r="B1" s="14"/>
      <c r="C1" s="14"/>
      <c r="D1" s="14"/>
      <c r="E1" s="14"/>
      <c r="F1" s="14"/>
      <c r="G1" s="14"/>
    </row>
    <row r="2" spans="1:7" ht="27.75" customHeight="1" x14ac:dyDescent="0.3">
      <c r="A2" s="12" t="s">
        <v>39</v>
      </c>
      <c r="B2" s="12"/>
      <c r="C2" s="12"/>
      <c r="D2" s="12"/>
      <c r="E2" s="12"/>
      <c r="F2" s="12"/>
      <c r="G2" s="12"/>
    </row>
    <row r="4" spans="1:7" ht="31.5" customHeight="1" x14ac:dyDescent="0.3">
      <c r="A4" s="17" t="s">
        <v>40</v>
      </c>
      <c r="B4" s="17" t="s">
        <v>41</v>
      </c>
      <c r="C4" s="17" t="s">
        <v>42</v>
      </c>
      <c r="D4" s="17" t="s">
        <v>43</v>
      </c>
      <c r="E4" s="17" t="s">
        <v>44</v>
      </c>
      <c r="F4" s="17" t="s">
        <v>45</v>
      </c>
      <c r="G4" s="17" t="s">
        <v>46</v>
      </c>
    </row>
    <row r="5" spans="1:7" x14ac:dyDescent="0.3">
      <c r="A5" s="11" t="s">
        <v>47</v>
      </c>
      <c r="B5" s="11"/>
      <c r="C5" s="11"/>
      <c r="D5" s="11"/>
      <c r="E5" s="11"/>
      <c r="F5" s="11"/>
      <c r="G5" s="11"/>
    </row>
    <row r="6" spans="1:7" ht="39.6" x14ac:dyDescent="0.3">
      <c r="A6" s="18" t="s">
        <v>48</v>
      </c>
      <c r="B6" s="16" t="s">
        <v>49</v>
      </c>
      <c r="C6" s="19">
        <v>5</v>
      </c>
      <c r="D6" s="19">
        <v>4</v>
      </c>
      <c r="E6" s="19">
        <v>5</v>
      </c>
      <c r="F6" s="20">
        <f t="shared" ref="F6:F16" si="0">MAX(C6,D6,E6)</f>
        <v>5</v>
      </c>
      <c r="G6" s="16" t="s">
        <v>50</v>
      </c>
    </row>
    <row r="7" spans="1:7" ht="26.4" x14ac:dyDescent="0.3">
      <c r="A7" s="18" t="s">
        <v>51</v>
      </c>
      <c r="B7" s="16" t="s">
        <v>52</v>
      </c>
      <c r="C7" s="19">
        <v>5</v>
      </c>
      <c r="D7" s="19">
        <v>4</v>
      </c>
      <c r="E7" s="19">
        <v>5</v>
      </c>
      <c r="F7" s="20">
        <f t="shared" si="0"/>
        <v>5</v>
      </c>
      <c r="G7" s="16" t="s">
        <v>53</v>
      </c>
    </row>
    <row r="8" spans="1:7" ht="26.4" x14ac:dyDescent="0.3">
      <c r="A8" s="18" t="s">
        <v>54</v>
      </c>
      <c r="B8" s="16" t="s">
        <v>55</v>
      </c>
      <c r="C8" s="19">
        <v>4</v>
      </c>
      <c r="D8" s="19">
        <v>4</v>
      </c>
      <c r="E8" s="19">
        <v>5</v>
      </c>
      <c r="F8" s="20">
        <f t="shared" si="0"/>
        <v>5</v>
      </c>
      <c r="G8" s="16" t="s">
        <v>56</v>
      </c>
    </row>
    <row r="9" spans="1:7" ht="26.4" x14ac:dyDescent="0.3">
      <c r="A9" s="18" t="s">
        <v>57</v>
      </c>
      <c r="B9" s="16" t="s">
        <v>58</v>
      </c>
      <c r="C9" s="19">
        <v>4</v>
      </c>
      <c r="D9" s="19">
        <v>4</v>
      </c>
      <c r="E9" s="19">
        <v>5</v>
      </c>
      <c r="F9" s="20">
        <f t="shared" si="0"/>
        <v>5</v>
      </c>
      <c r="G9" s="16" t="s">
        <v>59</v>
      </c>
    </row>
    <row r="10" spans="1:7" ht="26.4" x14ac:dyDescent="0.3">
      <c r="A10" s="18" t="s">
        <v>60</v>
      </c>
      <c r="B10" s="16" t="s">
        <v>61</v>
      </c>
      <c r="C10" s="19">
        <v>3</v>
      </c>
      <c r="D10" s="19">
        <v>4</v>
      </c>
      <c r="E10" s="19">
        <v>4</v>
      </c>
      <c r="F10" s="20">
        <f t="shared" si="0"/>
        <v>4</v>
      </c>
      <c r="G10" s="16" t="s">
        <v>62</v>
      </c>
    </row>
    <row r="11" spans="1:7" ht="39.6" x14ac:dyDescent="0.3">
      <c r="A11" s="18" t="s">
        <v>63</v>
      </c>
      <c r="B11" s="16" t="s">
        <v>64</v>
      </c>
      <c r="C11" s="19">
        <v>4</v>
      </c>
      <c r="D11" s="19">
        <v>3</v>
      </c>
      <c r="E11" s="19">
        <v>4</v>
      </c>
      <c r="F11" s="20">
        <f t="shared" si="0"/>
        <v>4</v>
      </c>
      <c r="G11" s="16" t="s">
        <v>65</v>
      </c>
    </row>
    <row r="12" spans="1:7" ht="26.4" x14ac:dyDescent="0.3">
      <c r="A12" s="18" t="s">
        <v>66</v>
      </c>
      <c r="B12" s="16" t="s">
        <v>67</v>
      </c>
      <c r="C12" s="19">
        <v>4</v>
      </c>
      <c r="D12" s="19">
        <v>4</v>
      </c>
      <c r="E12" s="19">
        <v>4</v>
      </c>
      <c r="F12" s="20">
        <f t="shared" si="0"/>
        <v>4</v>
      </c>
      <c r="G12" s="16" t="s">
        <v>68</v>
      </c>
    </row>
    <row r="13" spans="1:7" ht="26.4" x14ac:dyDescent="0.3">
      <c r="A13" s="18" t="s">
        <v>69</v>
      </c>
      <c r="B13" s="16" t="s">
        <v>70</v>
      </c>
      <c r="C13" s="19">
        <v>3</v>
      </c>
      <c r="D13" s="19">
        <v>3</v>
      </c>
      <c r="E13" s="19">
        <v>4</v>
      </c>
      <c r="F13" s="20">
        <f t="shared" si="0"/>
        <v>4</v>
      </c>
      <c r="G13" s="16" t="s">
        <v>71</v>
      </c>
    </row>
    <row r="14" spans="1:7" ht="26.4" x14ac:dyDescent="0.3">
      <c r="A14" s="18" t="s">
        <v>72</v>
      </c>
      <c r="B14" s="16" t="s">
        <v>73</v>
      </c>
      <c r="C14" s="19">
        <v>5</v>
      </c>
      <c r="D14" s="19">
        <v>5</v>
      </c>
      <c r="E14" s="19">
        <v>5</v>
      </c>
      <c r="F14" s="20">
        <f t="shared" si="0"/>
        <v>5</v>
      </c>
      <c r="G14" s="16" t="s">
        <v>74</v>
      </c>
    </row>
    <row r="15" spans="1:7" ht="26.4" x14ac:dyDescent="0.3">
      <c r="A15" s="18" t="s">
        <v>75</v>
      </c>
      <c r="B15" s="16" t="s">
        <v>76</v>
      </c>
      <c r="C15" s="19">
        <v>5</v>
      </c>
      <c r="D15" s="19">
        <v>4</v>
      </c>
      <c r="E15" s="19">
        <v>4</v>
      </c>
      <c r="F15" s="20">
        <f t="shared" si="0"/>
        <v>5</v>
      </c>
      <c r="G15" s="16" t="s">
        <v>77</v>
      </c>
    </row>
    <row r="16" spans="1:7" ht="26.4" x14ac:dyDescent="0.3">
      <c r="A16" s="18" t="s">
        <v>78</v>
      </c>
      <c r="B16" s="16" t="s">
        <v>79</v>
      </c>
      <c r="C16" s="19">
        <v>2</v>
      </c>
      <c r="D16" s="19">
        <v>3</v>
      </c>
      <c r="E16" s="19">
        <v>4</v>
      </c>
      <c r="F16" s="20">
        <f t="shared" si="0"/>
        <v>4</v>
      </c>
      <c r="G16" s="16" t="s">
        <v>80</v>
      </c>
    </row>
    <row r="17" spans="1:7" x14ac:dyDescent="0.3">
      <c r="A17" s="11" t="s">
        <v>81</v>
      </c>
      <c r="B17" s="11"/>
      <c r="C17" s="11"/>
      <c r="D17" s="11"/>
      <c r="E17" s="11"/>
      <c r="F17" s="11"/>
      <c r="G17" s="11"/>
    </row>
    <row r="18" spans="1:7" ht="26.4" x14ac:dyDescent="0.3">
      <c r="A18" s="18" t="s">
        <v>82</v>
      </c>
      <c r="B18" s="16" t="s">
        <v>83</v>
      </c>
      <c r="C18" s="19">
        <v>3</v>
      </c>
      <c r="D18" s="19">
        <v>5</v>
      </c>
      <c r="E18" s="19">
        <v>3</v>
      </c>
      <c r="F18" s="20">
        <f t="shared" ref="F18:F24" si="1">MAX(C18,D18,E18)</f>
        <v>5</v>
      </c>
      <c r="G18" s="16" t="s">
        <v>84</v>
      </c>
    </row>
    <row r="19" spans="1:7" ht="39.6" x14ac:dyDescent="0.3">
      <c r="A19" s="18" t="s">
        <v>85</v>
      </c>
      <c r="B19" s="16" t="s">
        <v>86</v>
      </c>
      <c r="C19" s="19">
        <v>5</v>
      </c>
      <c r="D19" s="19">
        <v>5</v>
      </c>
      <c r="E19" s="19">
        <v>5</v>
      </c>
      <c r="F19" s="20">
        <f t="shared" si="1"/>
        <v>5</v>
      </c>
      <c r="G19" s="16" t="s">
        <v>87</v>
      </c>
    </row>
    <row r="20" spans="1:7" ht="26.4" x14ac:dyDescent="0.3">
      <c r="A20" s="18" t="s">
        <v>88</v>
      </c>
      <c r="B20" s="16" t="s">
        <v>89</v>
      </c>
      <c r="C20" s="19">
        <v>2</v>
      </c>
      <c r="D20" s="19">
        <v>4</v>
      </c>
      <c r="E20" s="19">
        <v>3</v>
      </c>
      <c r="F20" s="20">
        <f t="shared" si="1"/>
        <v>4</v>
      </c>
      <c r="G20" s="16" t="s">
        <v>90</v>
      </c>
    </row>
    <row r="21" spans="1:7" ht="26.4" x14ac:dyDescent="0.3">
      <c r="A21" s="18" t="s">
        <v>91</v>
      </c>
      <c r="B21" s="16" t="s">
        <v>92</v>
      </c>
      <c r="C21" s="19">
        <v>2</v>
      </c>
      <c r="D21" s="19">
        <v>3</v>
      </c>
      <c r="E21" s="19">
        <v>3</v>
      </c>
      <c r="F21" s="20">
        <f t="shared" si="1"/>
        <v>3</v>
      </c>
      <c r="G21" s="16" t="s">
        <v>93</v>
      </c>
    </row>
    <row r="22" spans="1:7" ht="39.6" x14ac:dyDescent="0.3">
      <c r="A22" s="18" t="s">
        <v>94</v>
      </c>
      <c r="B22" s="16" t="s">
        <v>95</v>
      </c>
      <c r="C22" s="19">
        <v>4</v>
      </c>
      <c r="D22" s="19">
        <v>4</v>
      </c>
      <c r="E22" s="19">
        <v>4</v>
      </c>
      <c r="F22" s="20">
        <f t="shared" si="1"/>
        <v>4</v>
      </c>
      <c r="G22" s="16" t="s">
        <v>96</v>
      </c>
    </row>
    <row r="23" spans="1:7" ht="26.4" x14ac:dyDescent="0.3">
      <c r="A23" s="18" t="s">
        <v>97</v>
      </c>
      <c r="B23" s="16" t="s">
        <v>98</v>
      </c>
      <c r="C23" s="19">
        <v>1</v>
      </c>
      <c r="D23" s="19">
        <v>2</v>
      </c>
      <c r="E23" s="19">
        <v>3</v>
      </c>
      <c r="F23" s="20">
        <f t="shared" si="1"/>
        <v>3</v>
      </c>
      <c r="G23" s="16" t="s">
        <v>99</v>
      </c>
    </row>
    <row r="24" spans="1:7" ht="26.4" x14ac:dyDescent="0.3">
      <c r="A24" s="18" t="s">
        <v>100</v>
      </c>
      <c r="B24" s="16" t="s">
        <v>101</v>
      </c>
      <c r="C24" s="19">
        <v>4</v>
      </c>
      <c r="D24" s="19">
        <v>5</v>
      </c>
      <c r="E24" s="19">
        <v>4</v>
      </c>
      <c r="F24" s="20">
        <f t="shared" si="1"/>
        <v>5</v>
      </c>
      <c r="G24" s="16" t="s">
        <v>102</v>
      </c>
    </row>
    <row r="25" spans="1:7" x14ac:dyDescent="0.3">
      <c r="A25" s="11" t="s">
        <v>103</v>
      </c>
      <c r="B25" s="11"/>
      <c r="C25" s="11"/>
      <c r="D25" s="11"/>
      <c r="E25" s="11"/>
      <c r="F25" s="11"/>
      <c r="G25" s="11"/>
    </row>
    <row r="26" spans="1:7" ht="26.4" x14ac:dyDescent="0.3">
      <c r="A26" s="18" t="s">
        <v>104</v>
      </c>
      <c r="B26" s="16" t="s">
        <v>105</v>
      </c>
      <c r="C26" s="19">
        <v>3</v>
      </c>
      <c r="D26" s="19">
        <v>4</v>
      </c>
      <c r="E26" s="19">
        <v>3</v>
      </c>
      <c r="F26" s="20">
        <f t="shared" ref="F26:F31" si="2">MAX(C26,D26,E26)</f>
        <v>4</v>
      </c>
      <c r="G26" s="16" t="s">
        <v>106</v>
      </c>
    </row>
    <row r="27" spans="1:7" ht="26.4" x14ac:dyDescent="0.3">
      <c r="A27" s="18" t="s">
        <v>107</v>
      </c>
      <c r="B27" s="16" t="s">
        <v>108</v>
      </c>
      <c r="C27" s="19">
        <v>2</v>
      </c>
      <c r="D27" s="19">
        <v>4</v>
      </c>
      <c r="E27" s="19">
        <v>3</v>
      </c>
      <c r="F27" s="20">
        <f t="shared" si="2"/>
        <v>4</v>
      </c>
      <c r="G27" s="16" t="s">
        <v>109</v>
      </c>
    </row>
    <row r="28" spans="1:7" ht="26.4" x14ac:dyDescent="0.3">
      <c r="A28" s="18" t="s">
        <v>110</v>
      </c>
      <c r="B28" s="16" t="s">
        <v>111</v>
      </c>
      <c r="C28" s="19">
        <v>4</v>
      </c>
      <c r="D28" s="19">
        <v>3</v>
      </c>
      <c r="E28" s="19">
        <v>4</v>
      </c>
      <c r="F28" s="20">
        <f t="shared" si="2"/>
        <v>4</v>
      </c>
      <c r="G28" s="16" t="s">
        <v>112</v>
      </c>
    </row>
    <row r="29" spans="1:7" ht="26.4" x14ac:dyDescent="0.3">
      <c r="A29" s="18" t="s">
        <v>113</v>
      </c>
      <c r="B29" s="16" t="s">
        <v>114</v>
      </c>
      <c r="C29" s="19">
        <v>3</v>
      </c>
      <c r="D29" s="19">
        <v>3</v>
      </c>
      <c r="E29" s="19">
        <v>3</v>
      </c>
      <c r="F29" s="20">
        <f t="shared" si="2"/>
        <v>3</v>
      </c>
      <c r="G29" s="16" t="s">
        <v>115</v>
      </c>
    </row>
    <row r="30" spans="1:7" ht="26.4" x14ac:dyDescent="0.3">
      <c r="A30" s="18" t="s">
        <v>116</v>
      </c>
      <c r="B30" s="16" t="s">
        <v>117</v>
      </c>
      <c r="C30" s="19">
        <v>4</v>
      </c>
      <c r="D30" s="19">
        <v>4</v>
      </c>
      <c r="E30" s="19">
        <v>4</v>
      </c>
      <c r="F30" s="20">
        <f t="shared" si="2"/>
        <v>4</v>
      </c>
      <c r="G30" s="16" t="s">
        <v>118</v>
      </c>
    </row>
    <row r="31" spans="1:7" ht="26.4" x14ac:dyDescent="0.3">
      <c r="A31" s="18" t="s">
        <v>119</v>
      </c>
      <c r="B31" s="16" t="s">
        <v>120</v>
      </c>
      <c r="C31" s="19">
        <v>3</v>
      </c>
      <c r="D31" s="19">
        <v>2</v>
      </c>
      <c r="E31" s="19">
        <v>3</v>
      </c>
      <c r="F31" s="20">
        <f t="shared" si="2"/>
        <v>3</v>
      </c>
      <c r="G31" s="16" t="s">
        <v>121</v>
      </c>
    </row>
  </sheetData>
  <mergeCells count="5">
    <mergeCell ref="A1:G1"/>
    <mergeCell ref="A2:G2"/>
    <mergeCell ref="A5:G5"/>
    <mergeCell ref="A17:G17"/>
    <mergeCell ref="A25:G25"/>
  </mergeCells>
  <conditionalFormatting sqref="F5:F31">
    <cfRule type="cellIs" dxfId="7" priority="2" operator="equal">
      <formula>5</formula>
    </cfRule>
    <cfRule type="cellIs" dxfId="6" priority="3" operator="equal">
      <formula>4</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9"/>
  <sheetViews>
    <sheetView showGridLines="0" zoomScaleNormal="100" workbookViewId="0">
      <pane ySplit="4" topLeftCell="A5" activePane="bottomLeft" state="frozen"/>
      <selection pane="bottomLeft" activeCell="G76" sqref="G76"/>
    </sheetView>
  </sheetViews>
  <sheetFormatPr baseColWidth="10" defaultColWidth="8.6640625" defaultRowHeight="14.4" x14ac:dyDescent="0.3"/>
  <cols>
    <col min="1" max="1" width="9" customWidth="1"/>
    <col min="2" max="2" width="30" customWidth="1"/>
    <col min="3" max="3" width="6" customWidth="1"/>
    <col min="4" max="4" width="38" customWidth="1"/>
    <col min="5" max="5" width="10" customWidth="1"/>
    <col min="6" max="6" width="42" customWidth="1"/>
    <col min="7" max="7" width="10" customWidth="1"/>
  </cols>
  <sheetData>
    <row r="1" spans="1:7" ht="31.5" customHeight="1" x14ac:dyDescent="0.3">
      <c r="A1" s="14" t="s">
        <v>122</v>
      </c>
      <c r="B1" s="14"/>
      <c r="C1" s="14"/>
      <c r="D1" s="14"/>
      <c r="E1" s="14"/>
      <c r="F1" s="14"/>
      <c r="G1" s="14"/>
    </row>
    <row r="2" spans="1:7" ht="18" customHeight="1" x14ac:dyDescent="0.3">
      <c r="A2" s="10" t="s">
        <v>123</v>
      </c>
      <c r="B2" s="10"/>
      <c r="C2" s="10"/>
      <c r="D2" s="10"/>
      <c r="E2" s="10"/>
      <c r="F2" s="10"/>
      <c r="G2" s="10"/>
    </row>
    <row r="4" spans="1:7" ht="31.5" customHeight="1" x14ac:dyDescent="0.3">
      <c r="A4" s="17" t="s">
        <v>124</v>
      </c>
      <c r="B4" s="17" t="s">
        <v>41</v>
      </c>
      <c r="C4" s="17" t="s">
        <v>125</v>
      </c>
      <c r="D4" s="17" t="s">
        <v>126</v>
      </c>
      <c r="E4" s="17" t="s">
        <v>127</v>
      </c>
      <c r="F4" s="17" t="s">
        <v>128</v>
      </c>
      <c r="G4" s="17" t="s">
        <v>129</v>
      </c>
    </row>
    <row r="5" spans="1:7" x14ac:dyDescent="0.3">
      <c r="A5" s="11" t="s">
        <v>47</v>
      </c>
      <c r="B5" s="11"/>
      <c r="C5" s="11"/>
      <c r="D5" s="11"/>
      <c r="E5" s="11"/>
      <c r="F5" s="11"/>
      <c r="G5" s="11"/>
    </row>
    <row r="6" spans="1:7" ht="15" customHeight="1" x14ac:dyDescent="0.3">
      <c r="A6" s="9" t="s">
        <v>48</v>
      </c>
      <c r="B6" s="8" t="s">
        <v>49</v>
      </c>
      <c r="C6" s="21" t="s">
        <v>130</v>
      </c>
      <c r="D6" s="22" t="s">
        <v>131</v>
      </c>
      <c r="E6" s="21">
        <v>4</v>
      </c>
      <c r="F6" s="22" t="s">
        <v>132</v>
      </c>
      <c r="G6" s="21">
        <v>4</v>
      </c>
    </row>
    <row r="7" spans="1:7" x14ac:dyDescent="0.3">
      <c r="A7" s="9"/>
      <c r="B7" s="9"/>
      <c r="C7" s="21" t="s">
        <v>133</v>
      </c>
      <c r="D7" s="22" t="s">
        <v>134</v>
      </c>
      <c r="E7" s="21">
        <v>3</v>
      </c>
      <c r="F7" s="22" t="s">
        <v>135</v>
      </c>
      <c r="G7" s="21">
        <v>3</v>
      </c>
    </row>
    <row r="8" spans="1:7" ht="22.8" x14ac:dyDescent="0.3">
      <c r="A8" s="9"/>
      <c r="B8" s="9"/>
      <c r="C8" s="21" t="s">
        <v>136</v>
      </c>
      <c r="D8" s="22" t="s">
        <v>137</v>
      </c>
      <c r="E8" s="21">
        <v>3</v>
      </c>
      <c r="F8" s="22" t="s">
        <v>138</v>
      </c>
      <c r="G8" s="21">
        <v>4</v>
      </c>
    </row>
    <row r="9" spans="1:7" ht="22.35" customHeight="1" x14ac:dyDescent="0.3">
      <c r="A9" s="9" t="s">
        <v>51</v>
      </c>
      <c r="B9" s="8" t="s">
        <v>139</v>
      </c>
      <c r="C9" s="21" t="s">
        <v>130</v>
      </c>
      <c r="D9" s="22" t="s">
        <v>140</v>
      </c>
      <c r="E9" s="21">
        <v>4</v>
      </c>
      <c r="F9" s="22" t="s">
        <v>141</v>
      </c>
      <c r="G9" s="21">
        <v>5</v>
      </c>
    </row>
    <row r="10" spans="1:7" ht="22.8" x14ac:dyDescent="0.3">
      <c r="A10" s="9"/>
      <c r="B10" s="9"/>
      <c r="C10" s="21" t="s">
        <v>133</v>
      </c>
      <c r="D10" s="22" t="s">
        <v>142</v>
      </c>
      <c r="E10" s="21">
        <v>4</v>
      </c>
      <c r="F10" s="22" t="s">
        <v>143</v>
      </c>
      <c r="G10" s="21">
        <v>4</v>
      </c>
    </row>
    <row r="11" spans="1:7" ht="22.8" x14ac:dyDescent="0.3">
      <c r="A11" s="9"/>
      <c r="B11" s="9"/>
      <c r="C11" s="21" t="s">
        <v>136</v>
      </c>
      <c r="D11" s="22" t="s">
        <v>144</v>
      </c>
      <c r="E11" s="21">
        <v>3</v>
      </c>
      <c r="F11" s="22" t="s">
        <v>145</v>
      </c>
      <c r="G11" s="21">
        <v>3</v>
      </c>
    </row>
    <row r="12" spans="1:7" ht="22.35" customHeight="1" x14ac:dyDescent="0.3">
      <c r="A12" s="9" t="s">
        <v>54</v>
      </c>
      <c r="B12" s="8" t="s">
        <v>55</v>
      </c>
      <c r="C12" s="21" t="s">
        <v>130</v>
      </c>
      <c r="D12" s="22" t="s">
        <v>146</v>
      </c>
      <c r="E12" s="21">
        <v>4</v>
      </c>
      <c r="F12" s="22" t="s">
        <v>147</v>
      </c>
      <c r="G12" s="21">
        <v>5</v>
      </c>
    </row>
    <row r="13" spans="1:7" ht="22.8" x14ac:dyDescent="0.3">
      <c r="A13" s="9"/>
      <c r="B13" s="9"/>
      <c r="C13" s="21" t="s">
        <v>133</v>
      </c>
      <c r="D13" s="22" t="s">
        <v>148</v>
      </c>
      <c r="E13" s="21">
        <v>4</v>
      </c>
      <c r="F13" s="22" t="s">
        <v>149</v>
      </c>
      <c r="G13" s="21">
        <v>4</v>
      </c>
    </row>
    <row r="14" spans="1:7" x14ac:dyDescent="0.3">
      <c r="A14" s="9"/>
      <c r="B14" s="9"/>
      <c r="C14" s="21" t="s">
        <v>136</v>
      </c>
      <c r="D14" s="22" t="s">
        <v>150</v>
      </c>
      <c r="E14" s="21">
        <v>3</v>
      </c>
      <c r="F14" s="22" t="s">
        <v>151</v>
      </c>
      <c r="G14" s="21">
        <v>4</v>
      </c>
    </row>
    <row r="15" spans="1:7" ht="15" customHeight="1" x14ac:dyDescent="0.3">
      <c r="A15" s="9" t="s">
        <v>57</v>
      </c>
      <c r="B15" s="8" t="s">
        <v>58</v>
      </c>
      <c r="C15" s="21" t="s">
        <v>130</v>
      </c>
      <c r="D15" s="22" t="s">
        <v>152</v>
      </c>
      <c r="E15" s="21">
        <v>3</v>
      </c>
      <c r="F15" s="22" t="s">
        <v>153</v>
      </c>
      <c r="G15" s="21">
        <v>4</v>
      </c>
    </row>
    <row r="16" spans="1:7" ht="22.8" x14ac:dyDescent="0.3">
      <c r="A16" s="9"/>
      <c r="B16" s="9"/>
      <c r="C16" s="21" t="s">
        <v>133</v>
      </c>
      <c r="D16" s="22" t="s">
        <v>154</v>
      </c>
      <c r="E16" s="21">
        <v>4</v>
      </c>
      <c r="F16" s="22" t="s">
        <v>155</v>
      </c>
      <c r="G16" s="21">
        <v>4</v>
      </c>
    </row>
    <row r="17" spans="1:7" x14ac:dyDescent="0.3">
      <c r="A17" s="9"/>
      <c r="B17" s="9"/>
      <c r="C17" s="21" t="s">
        <v>136</v>
      </c>
      <c r="D17" s="22" t="s">
        <v>156</v>
      </c>
      <c r="E17" s="21">
        <v>3</v>
      </c>
      <c r="F17" s="22" t="s">
        <v>157</v>
      </c>
      <c r="G17" s="21">
        <v>3</v>
      </c>
    </row>
    <row r="18" spans="1:7" ht="15" customHeight="1" x14ac:dyDescent="0.3">
      <c r="A18" s="9" t="s">
        <v>60</v>
      </c>
      <c r="B18" s="8" t="s">
        <v>61</v>
      </c>
      <c r="C18" s="21" t="s">
        <v>130</v>
      </c>
      <c r="D18" s="22" t="s">
        <v>158</v>
      </c>
      <c r="E18" s="21">
        <v>4</v>
      </c>
      <c r="F18" s="22" t="s">
        <v>159</v>
      </c>
      <c r="G18" s="21">
        <v>4</v>
      </c>
    </row>
    <row r="19" spans="1:7" x14ac:dyDescent="0.3">
      <c r="A19" s="9"/>
      <c r="B19" s="9"/>
      <c r="C19" s="21" t="s">
        <v>133</v>
      </c>
      <c r="D19" s="22" t="s">
        <v>160</v>
      </c>
      <c r="E19" s="21">
        <v>3</v>
      </c>
      <c r="F19" s="22" t="s">
        <v>161</v>
      </c>
      <c r="G19" s="21">
        <v>4</v>
      </c>
    </row>
    <row r="20" spans="1:7" x14ac:dyDescent="0.3">
      <c r="A20" s="9"/>
      <c r="B20" s="9"/>
      <c r="C20" s="21" t="s">
        <v>136</v>
      </c>
      <c r="D20" s="22" t="s">
        <v>162</v>
      </c>
      <c r="E20" s="21">
        <v>3</v>
      </c>
      <c r="F20" s="22" t="s">
        <v>163</v>
      </c>
      <c r="G20" s="21">
        <v>3</v>
      </c>
    </row>
    <row r="21" spans="1:7" ht="15" customHeight="1" x14ac:dyDescent="0.3">
      <c r="A21" s="9" t="s">
        <v>63</v>
      </c>
      <c r="B21" s="8" t="s">
        <v>64</v>
      </c>
      <c r="C21" s="21" t="s">
        <v>130</v>
      </c>
      <c r="D21" s="22" t="s">
        <v>164</v>
      </c>
      <c r="E21" s="21">
        <v>4</v>
      </c>
      <c r="F21" s="22" t="s">
        <v>165</v>
      </c>
      <c r="G21" s="21">
        <v>4</v>
      </c>
    </row>
    <row r="22" spans="1:7" x14ac:dyDescent="0.3">
      <c r="A22" s="9"/>
      <c r="B22" s="9"/>
      <c r="C22" s="21" t="s">
        <v>133</v>
      </c>
      <c r="D22" s="22" t="s">
        <v>166</v>
      </c>
      <c r="E22" s="21">
        <v>3</v>
      </c>
      <c r="F22" s="22" t="s">
        <v>167</v>
      </c>
      <c r="G22" s="21">
        <v>3</v>
      </c>
    </row>
    <row r="23" spans="1:7" x14ac:dyDescent="0.3">
      <c r="A23" s="9"/>
      <c r="B23" s="9"/>
      <c r="C23" s="21" t="s">
        <v>136</v>
      </c>
      <c r="D23" s="22" t="s">
        <v>168</v>
      </c>
      <c r="E23" s="21">
        <v>3</v>
      </c>
      <c r="F23" s="22" t="s">
        <v>169</v>
      </c>
      <c r="G23" s="21">
        <v>3</v>
      </c>
    </row>
    <row r="24" spans="1:7" ht="22.35" customHeight="1" x14ac:dyDescent="0.3">
      <c r="A24" s="9" t="s">
        <v>66</v>
      </c>
      <c r="B24" s="8" t="s">
        <v>67</v>
      </c>
      <c r="C24" s="21" t="s">
        <v>130</v>
      </c>
      <c r="D24" s="22" t="s">
        <v>170</v>
      </c>
      <c r="E24" s="21">
        <v>4</v>
      </c>
      <c r="F24" s="22" t="s">
        <v>171</v>
      </c>
      <c r="G24" s="21">
        <v>5</v>
      </c>
    </row>
    <row r="25" spans="1:7" x14ac:dyDescent="0.3">
      <c r="A25" s="9"/>
      <c r="B25" s="9"/>
      <c r="C25" s="21" t="s">
        <v>133</v>
      </c>
      <c r="D25" s="22" t="s">
        <v>172</v>
      </c>
      <c r="E25" s="21">
        <v>2</v>
      </c>
      <c r="F25" s="22" t="s">
        <v>173</v>
      </c>
      <c r="G25" s="21">
        <v>2</v>
      </c>
    </row>
    <row r="26" spans="1:7" ht="22.8" x14ac:dyDescent="0.3">
      <c r="A26" s="9"/>
      <c r="B26" s="9"/>
      <c r="C26" s="21" t="s">
        <v>136</v>
      </c>
      <c r="D26" s="22" t="s">
        <v>174</v>
      </c>
      <c r="E26" s="21">
        <v>3</v>
      </c>
      <c r="F26" s="22" t="s">
        <v>175</v>
      </c>
      <c r="G26" s="21">
        <v>3</v>
      </c>
    </row>
    <row r="27" spans="1:7" ht="15" customHeight="1" x14ac:dyDescent="0.3">
      <c r="A27" s="9" t="s">
        <v>69</v>
      </c>
      <c r="B27" s="8" t="s">
        <v>70</v>
      </c>
      <c r="C27" s="21" t="s">
        <v>130</v>
      </c>
      <c r="D27" s="22" t="s">
        <v>176</v>
      </c>
      <c r="E27" s="21">
        <v>3</v>
      </c>
      <c r="F27" s="22" t="s">
        <v>177</v>
      </c>
      <c r="G27" s="21">
        <v>3</v>
      </c>
    </row>
    <row r="28" spans="1:7" x14ac:dyDescent="0.3">
      <c r="A28" s="9"/>
      <c r="B28" s="9"/>
      <c r="C28" s="21" t="s">
        <v>133</v>
      </c>
      <c r="D28" s="22" t="s">
        <v>178</v>
      </c>
      <c r="E28" s="21">
        <v>3</v>
      </c>
      <c r="F28" s="22" t="s">
        <v>179</v>
      </c>
      <c r="G28" s="21">
        <v>3</v>
      </c>
    </row>
    <row r="29" spans="1:7" x14ac:dyDescent="0.3">
      <c r="A29" s="9"/>
      <c r="B29" s="9"/>
      <c r="C29" s="21" t="s">
        <v>136</v>
      </c>
      <c r="D29" s="22" t="s">
        <v>180</v>
      </c>
      <c r="E29" s="21">
        <v>3</v>
      </c>
      <c r="F29" s="22" t="s">
        <v>181</v>
      </c>
      <c r="G29" s="21">
        <v>3</v>
      </c>
    </row>
    <row r="30" spans="1:7" ht="15" customHeight="1" x14ac:dyDescent="0.3">
      <c r="A30" s="9" t="s">
        <v>72</v>
      </c>
      <c r="B30" s="8" t="s">
        <v>182</v>
      </c>
      <c r="C30" s="21" t="s">
        <v>130</v>
      </c>
      <c r="D30" s="22" t="s">
        <v>183</v>
      </c>
      <c r="E30" s="21">
        <v>4</v>
      </c>
      <c r="F30" s="22" t="s">
        <v>184</v>
      </c>
      <c r="G30" s="21">
        <v>5</v>
      </c>
    </row>
    <row r="31" spans="1:7" ht="22.8" x14ac:dyDescent="0.3">
      <c r="A31" s="9"/>
      <c r="B31" s="9"/>
      <c r="C31" s="21" t="s">
        <v>133</v>
      </c>
      <c r="D31" s="22" t="s">
        <v>185</v>
      </c>
      <c r="E31" s="21">
        <v>4</v>
      </c>
      <c r="F31" s="22" t="s">
        <v>186</v>
      </c>
      <c r="G31" s="21">
        <v>5</v>
      </c>
    </row>
    <row r="32" spans="1:7" x14ac:dyDescent="0.3">
      <c r="A32" s="9"/>
      <c r="B32" s="9"/>
      <c r="C32" s="21" t="s">
        <v>136</v>
      </c>
      <c r="D32" s="22" t="s">
        <v>187</v>
      </c>
      <c r="E32" s="21">
        <v>4</v>
      </c>
      <c r="F32" s="22" t="s">
        <v>188</v>
      </c>
      <c r="G32" s="21">
        <v>4</v>
      </c>
    </row>
    <row r="33" spans="1:7" ht="15" customHeight="1" x14ac:dyDescent="0.3">
      <c r="A33" s="9" t="s">
        <v>75</v>
      </c>
      <c r="B33" s="8" t="s">
        <v>76</v>
      </c>
      <c r="C33" s="21" t="s">
        <v>130</v>
      </c>
      <c r="D33" s="22" t="s">
        <v>189</v>
      </c>
      <c r="E33" s="21">
        <v>5</v>
      </c>
      <c r="F33" s="22" t="s">
        <v>190</v>
      </c>
      <c r="G33" s="21">
        <v>5</v>
      </c>
    </row>
    <row r="34" spans="1:7" x14ac:dyDescent="0.3">
      <c r="A34" s="9"/>
      <c r="B34" s="9"/>
      <c r="C34" s="21" t="s">
        <v>133</v>
      </c>
      <c r="D34" s="22" t="s">
        <v>191</v>
      </c>
      <c r="E34" s="21">
        <v>4</v>
      </c>
      <c r="F34" s="22" t="s">
        <v>192</v>
      </c>
      <c r="G34" s="21">
        <v>4</v>
      </c>
    </row>
    <row r="35" spans="1:7" ht="22.8" x14ac:dyDescent="0.3">
      <c r="A35" s="9"/>
      <c r="B35" s="9"/>
      <c r="C35" s="21" t="s">
        <v>136</v>
      </c>
      <c r="D35" s="22" t="s">
        <v>193</v>
      </c>
      <c r="E35" s="21">
        <v>4</v>
      </c>
      <c r="F35" s="22" t="s">
        <v>194</v>
      </c>
      <c r="G35" s="21">
        <v>4</v>
      </c>
    </row>
    <row r="36" spans="1:7" ht="15" customHeight="1" x14ac:dyDescent="0.3">
      <c r="A36" s="9" t="s">
        <v>78</v>
      </c>
      <c r="B36" s="8" t="s">
        <v>79</v>
      </c>
      <c r="C36" s="21" t="s">
        <v>130</v>
      </c>
      <c r="D36" s="22" t="s">
        <v>195</v>
      </c>
      <c r="E36" s="21">
        <v>2</v>
      </c>
      <c r="F36" s="22" t="s">
        <v>196</v>
      </c>
      <c r="G36" s="21">
        <v>3</v>
      </c>
    </row>
    <row r="37" spans="1:7" x14ac:dyDescent="0.3">
      <c r="A37" s="9"/>
      <c r="B37" s="9"/>
      <c r="C37" s="21" t="s">
        <v>133</v>
      </c>
      <c r="D37" s="22" t="s">
        <v>197</v>
      </c>
      <c r="E37" s="21">
        <v>2</v>
      </c>
      <c r="F37" s="22" t="s">
        <v>198</v>
      </c>
      <c r="G37" s="21">
        <v>3</v>
      </c>
    </row>
    <row r="38" spans="1:7" ht="22.8" x14ac:dyDescent="0.3">
      <c r="A38" s="9"/>
      <c r="B38" s="9"/>
      <c r="C38" s="21" t="s">
        <v>136</v>
      </c>
      <c r="D38" s="22" t="s">
        <v>199</v>
      </c>
      <c r="E38" s="21">
        <v>3</v>
      </c>
      <c r="F38" s="22" t="s">
        <v>200</v>
      </c>
      <c r="G38" s="21">
        <v>3</v>
      </c>
    </row>
    <row r="39" spans="1:7" x14ac:dyDescent="0.3">
      <c r="A39" s="11" t="s">
        <v>81</v>
      </c>
      <c r="B39" s="11"/>
      <c r="C39" s="11"/>
      <c r="D39" s="11"/>
      <c r="E39" s="11"/>
      <c r="F39" s="11"/>
      <c r="G39" s="11"/>
    </row>
    <row r="40" spans="1:7" ht="22.35" customHeight="1" x14ac:dyDescent="0.3">
      <c r="A40" s="9" t="s">
        <v>82</v>
      </c>
      <c r="B40" s="8" t="s">
        <v>201</v>
      </c>
      <c r="C40" s="21" t="s">
        <v>130</v>
      </c>
      <c r="D40" s="22" t="s">
        <v>202</v>
      </c>
      <c r="E40" s="21">
        <v>4</v>
      </c>
      <c r="F40" s="22" t="s">
        <v>203</v>
      </c>
      <c r="G40" s="21">
        <v>4</v>
      </c>
    </row>
    <row r="41" spans="1:7" x14ac:dyDescent="0.3">
      <c r="A41" s="9"/>
      <c r="B41" s="9"/>
      <c r="C41" s="21" t="s">
        <v>133</v>
      </c>
      <c r="D41" s="22" t="s">
        <v>204</v>
      </c>
      <c r="E41" s="21">
        <v>4</v>
      </c>
      <c r="F41" s="22" t="s">
        <v>205</v>
      </c>
      <c r="G41" s="21">
        <v>4</v>
      </c>
    </row>
    <row r="42" spans="1:7" x14ac:dyDescent="0.3">
      <c r="A42" s="9"/>
      <c r="B42" s="9"/>
      <c r="C42" s="21" t="s">
        <v>136</v>
      </c>
      <c r="D42" s="22" t="s">
        <v>206</v>
      </c>
      <c r="E42" s="21">
        <v>3</v>
      </c>
      <c r="F42" s="22" t="s">
        <v>207</v>
      </c>
      <c r="G42" s="21">
        <v>4</v>
      </c>
    </row>
    <row r="43" spans="1:7" ht="15" customHeight="1" x14ac:dyDescent="0.3">
      <c r="A43" s="9" t="s">
        <v>85</v>
      </c>
      <c r="B43" s="8" t="s">
        <v>86</v>
      </c>
      <c r="C43" s="21" t="s">
        <v>130</v>
      </c>
      <c r="D43" s="22" t="s">
        <v>208</v>
      </c>
      <c r="E43" s="21">
        <v>4</v>
      </c>
      <c r="F43" s="22" t="s">
        <v>209</v>
      </c>
      <c r="G43" s="21">
        <v>5</v>
      </c>
    </row>
    <row r="44" spans="1:7" x14ac:dyDescent="0.3">
      <c r="A44" s="9"/>
      <c r="B44" s="9"/>
      <c r="C44" s="21" t="s">
        <v>133</v>
      </c>
      <c r="D44" s="22" t="s">
        <v>210</v>
      </c>
      <c r="E44" s="21">
        <v>4</v>
      </c>
      <c r="F44" s="22" t="s">
        <v>211</v>
      </c>
      <c r="G44" s="21">
        <v>5</v>
      </c>
    </row>
    <row r="45" spans="1:7" x14ac:dyDescent="0.3">
      <c r="A45" s="9"/>
      <c r="B45" s="9"/>
      <c r="C45" s="21" t="s">
        <v>136</v>
      </c>
      <c r="D45" s="22" t="s">
        <v>212</v>
      </c>
      <c r="E45" s="21">
        <v>4</v>
      </c>
      <c r="F45" s="22" t="s">
        <v>213</v>
      </c>
      <c r="G45" s="21">
        <v>4</v>
      </c>
    </row>
    <row r="46" spans="1:7" ht="22.35" customHeight="1" x14ac:dyDescent="0.3">
      <c r="A46" s="9" t="s">
        <v>88</v>
      </c>
      <c r="B46" s="8" t="s">
        <v>214</v>
      </c>
      <c r="C46" s="21" t="s">
        <v>130</v>
      </c>
      <c r="D46" s="22" t="s">
        <v>215</v>
      </c>
      <c r="E46" s="21">
        <v>3</v>
      </c>
      <c r="F46" s="22" t="s">
        <v>216</v>
      </c>
      <c r="G46" s="21">
        <v>3</v>
      </c>
    </row>
    <row r="47" spans="1:7" x14ac:dyDescent="0.3">
      <c r="A47" s="9"/>
      <c r="B47" s="9"/>
      <c r="C47" s="21" t="s">
        <v>133</v>
      </c>
      <c r="D47" s="22" t="s">
        <v>217</v>
      </c>
      <c r="E47" s="21">
        <v>3</v>
      </c>
      <c r="F47" s="22" t="s">
        <v>218</v>
      </c>
      <c r="G47" s="21">
        <v>3</v>
      </c>
    </row>
    <row r="48" spans="1:7" x14ac:dyDescent="0.3">
      <c r="A48" s="9"/>
      <c r="B48" s="9"/>
      <c r="C48" s="21" t="s">
        <v>136</v>
      </c>
      <c r="D48" s="22" t="s">
        <v>219</v>
      </c>
      <c r="E48" s="21">
        <v>3</v>
      </c>
      <c r="F48" s="22" t="s">
        <v>220</v>
      </c>
      <c r="G48" s="21">
        <v>4</v>
      </c>
    </row>
    <row r="49" spans="1:7" ht="15" customHeight="1" x14ac:dyDescent="0.3">
      <c r="A49" s="9" t="s">
        <v>91</v>
      </c>
      <c r="B49" s="8" t="s">
        <v>92</v>
      </c>
      <c r="C49" s="21" t="s">
        <v>130</v>
      </c>
      <c r="D49" s="22" t="s">
        <v>221</v>
      </c>
      <c r="E49" s="21">
        <v>3</v>
      </c>
      <c r="F49" s="22" t="s">
        <v>222</v>
      </c>
      <c r="G49" s="21">
        <v>3</v>
      </c>
    </row>
    <row r="50" spans="1:7" x14ac:dyDescent="0.3">
      <c r="A50" s="9"/>
      <c r="B50" s="9"/>
      <c r="C50" s="21" t="s">
        <v>133</v>
      </c>
      <c r="D50" s="22" t="s">
        <v>223</v>
      </c>
      <c r="E50" s="21">
        <v>2</v>
      </c>
      <c r="F50" s="22" t="s">
        <v>224</v>
      </c>
      <c r="G50" s="21">
        <v>2</v>
      </c>
    </row>
    <row r="51" spans="1:7" ht="22.8" x14ac:dyDescent="0.3">
      <c r="A51" s="9"/>
      <c r="B51" s="9"/>
      <c r="C51" s="21" t="s">
        <v>136</v>
      </c>
      <c r="D51" s="22" t="s">
        <v>225</v>
      </c>
      <c r="E51" s="21">
        <v>4</v>
      </c>
      <c r="F51" s="22" t="s">
        <v>226</v>
      </c>
      <c r="G51" s="21">
        <v>4</v>
      </c>
    </row>
    <row r="52" spans="1:7" ht="15" customHeight="1" x14ac:dyDescent="0.3">
      <c r="A52" s="9" t="s">
        <v>94</v>
      </c>
      <c r="B52" s="8" t="s">
        <v>95</v>
      </c>
      <c r="C52" s="21" t="s">
        <v>130</v>
      </c>
      <c r="D52" s="22" t="s">
        <v>227</v>
      </c>
      <c r="E52" s="21">
        <v>3</v>
      </c>
      <c r="F52" s="22" t="s">
        <v>228</v>
      </c>
      <c r="G52" s="21">
        <v>3</v>
      </c>
    </row>
    <row r="53" spans="1:7" ht="22.8" x14ac:dyDescent="0.3">
      <c r="A53" s="9"/>
      <c r="B53" s="9"/>
      <c r="C53" s="21" t="s">
        <v>133</v>
      </c>
      <c r="D53" s="22" t="s">
        <v>229</v>
      </c>
      <c r="E53" s="21">
        <v>3</v>
      </c>
      <c r="F53" s="22" t="s">
        <v>230</v>
      </c>
      <c r="G53" s="21">
        <v>3</v>
      </c>
    </row>
    <row r="54" spans="1:7" x14ac:dyDescent="0.3">
      <c r="A54" s="9"/>
      <c r="B54" s="9"/>
      <c r="C54" s="21" t="s">
        <v>136</v>
      </c>
      <c r="D54" s="22" t="s">
        <v>231</v>
      </c>
      <c r="E54" s="21">
        <v>3</v>
      </c>
      <c r="F54" s="22" t="s">
        <v>232</v>
      </c>
      <c r="G54" s="21">
        <v>3</v>
      </c>
    </row>
    <row r="55" spans="1:7" ht="15" customHeight="1" x14ac:dyDescent="0.3">
      <c r="A55" s="9" t="s">
        <v>97</v>
      </c>
      <c r="B55" s="8" t="s">
        <v>98</v>
      </c>
      <c r="C55" s="21" t="s">
        <v>130</v>
      </c>
      <c r="D55" s="22" t="s">
        <v>233</v>
      </c>
      <c r="E55" s="21">
        <v>2</v>
      </c>
      <c r="F55" s="22" t="s">
        <v>234</v>
      </c>
      <c r="G55" s="21">
        <v>2</v>
      </c>
    </row>
    <row r="56" spans="1:7" x14ac:dyDescent="0.3">
      <c r="A56" s="9"/>
      <c r="B56" s="9"/>
      <c r="C56" s="21" t="s">
        <v>133</v>
      </c>
      <c r="D56" s="22" t="s">
        <v>235</v>
      </c>
      <c r="E56" s="21">
        <v>2</v>
      </c>
      <c r="F56" s="22" t="s">
        <v>236</v>
      </c>
      <c r="G56" s="21">
        <v>2</v>
      </c>
    </row>
    <row r="57" spans="1:7" x14ac:dyDescent="0.3">
      <c r="A57" s="9"/>
      <c r="B57" s="9"/>
      <c r="C57" s="21" t="s">
        <v>136</v>
      </c>
      <c r="D57" s="22" t="s">
        <v>237</v>
      </c>
      <c r="E57" s="21">
        <v>3</v>
      </c>
      <c r="F57" s="22" t="s">
        <v>238</v>
      </c>
      <c r="G57" s="21">
        <v>3</v>
      </c>
    </row>
    <row r="58" spans="1:7" ht="22.35" customHeight="1" x14ac:dyDescent="0.3">
      <c r="A58" s="9" t="s">
        <v>100</v>
      </c>
      <c r="B58" s="8" t="s">
        <v>101</v>
      </c>
      <c r="C58" s="21" t="s">
        <v>130</v>
      </c>
      <c r="D58" s="22" t="s">
        <v>239</v>
      </c>
      <c r="E58" s="21">
        <v>4</v>
      </c>
      <c r="F58" s="22" t="s">
        <v>240</v>
      </c>
      <c r="G58" s="21">
        <v>4</v>
      </c>
    </row>
    <row r="59" spans="1:7" x14ac:dyDescent="0.3">
      <c r="A59" s="9"/>
      <c r="B59" s="9"/>
      <c r="C59" s="21" t="s">
        <v>133</v>
      </c>
      <c r="D59" s="22" t="s">
        <v>241</v>
      </c>
      <c r="E59" s="21">
        <v>4</v>
      </c>
      <c r="F59" s="22" t="s">
        <v>242</v>
      </c>
      <c r="G59" s="21">
        <v>4</v>
      </c>
    </row>
    <row r="60" spans="1:7" x14ac:dyDescent="0.3">
      <c r="A60" s="9"/>
      <c r="B60" s="9"/>
      <c r="C60" s="21" t="s">
        <v>136</v>
      </c>
      <c r="D60" s="22" t="s">
        <v>243</v>
      </c>
      <c r="E60" s="21">
        <v>3</v>
      </c>
      <c r="F60" s="22" t="s">
        <v>244</v>
      </c>
      <c r="G60" s="21">
        <v>3</v>
      </c>
    </row>
    <row r="61" spans="1:7" x14ac:dyDescent="0.3">
      <c r="A61" s="11" t="s">
        <v>103</v>
      </c>
      <c r="B61" s="11"/>
      <c r="C61" s="11"/>
      <c r="D61" s="11"/>
      <c r="E61" s="11"/>
      <c r="F61" s="11"/>
      <c r="G61" s="11"/>
    </row>
    <row r="62" spans="1:7" ht="15" customHeight="1" x14ac:dyDescent="0.3">
      <c r="A62" s="9" t="s">
        <v>104</v>
      </c>
      <c r="B62" s="8" t="s">
        <v>105</v>
      </c>
      <c r="C62" s="21" t="s">
        <v>130</v>
      </c>
      <c r="D62" s="22" t="s">
        <v>245</v>
      </c>
      <c r="E62" s="21">
        <v>3</v>
      </c>
      <c r="F62" s="22" t="s">
        <v>246</v>
      </c>
      <c r="G62" s="21">
        <v>4</v>
      </c>
    </row>
    <row r="63" spans="1:7" x14ac:dyDescent="0.3">
      <c r="A63" s="9"/>
      <c r="B63" s="9"/>
      <c r="C63" s="21" t="s">
        <v>133</v>
      </c>
      <c r="D63" s="22" t="s">
        <v>247</v>
      </c>
      <c r="E63" s="21">
        <v>4</v>
      </c>
      <c r="F63" s="22" t="s">
        <v>248</v>
      </c>
      <c r="G63" s="21">
        <v>4</v>
      </c>
    </row>
    <row r="64" spans="1:7" x14ac:dyDescent="0.3">
      <c r="A64" s="9"/>
      <c r="B64" s="9"/>
      <c r="C64" s="21" t="s">
        <v>136</v>
      </c>
      <c r="D64" s="22" t="s">
        <v>249</v>
      </c>
      <c r="E64" s="21">
        <v>3</v>
      </c>
      <c r="F64" s="22" t="s">
        <v>250</v>
      </c>
      <c r="G64" s="21">
        <v>3</v>
      </c>
    </row>
    <row r="65" spans="1:7" ht="22.35" customHeight="1" x14ac:dyDescent="0.3">
      <c r="A65" s="9" t="s">
        <v>107</v>
      </c>
      <c r="B65" s="8" t="s">
        <v>108</v>
      </c>
      <c r="C65" s="21" t="s">
        <v>130</v>
      </c>
      <c r="D65" s="22" t="s">
        <v>251</v>
      </c>
      <c r="E65" s="21">
        <v>3</v>
      </c>
      <c r="F65" s="22" t="s">
        <v>252</v>
      </c>
      <c r="G65" s="21">
        <v>3</v>
      </c>
    </row>
    <row r="66" spans="1:7" x14ac:dyDescent="0.3">
      <c r="A66" s="9"/>
      <c r="B66" s="9"/>
      <c r="C66" s="21" t="s">
        <v>133</v>
      </c>
      <c r="D66" s="22" t="s">
        <v>253</v>
      </c>
      <c r="E66" s="21">
        <v>3</v>
      </c>
      <c r="F66" s="22" t="s">
        <v>254</v>
      </c>
      <c r="G66" s="21">
        <v>3</v>
      </c>
    </row>
    <row r="67" spans="1:7" x14ac:dyDescent="0.3">
      <c r="A67" s="9"/>
      <c r="B67" s="9"/>
      <c r="C67" s="21" t="s">
        <v>136</v>
      </c>
      <c r="D67" s="22" t="s">
        <v>255</v>
      </c>
      <c r="E67" s="21">
        <v>3</v>
      </c>
      <c r="F67" s="22" t="s">
        <v>256</v>
      </c>
      <c r="G67" s="21">
        <v>3</v>
      </c>
    </row>
    <row r="68" spans="1:7" ht="22.35" customHeight="1" x14ac:dyDescent="0.3">
      <c r="A68" s="9" t="s">
        <v>110</v>
      </c>
      <c r="B68" s="8" t="s">
        <v>111</v>
      </c>
      <c r="C68" s="21" t="s">
        <v>130</v>
      </c>
      <c r="D68" s="22" t="s">
        <v>257</v>
      </c>
      <c r="E68" s="21">
        <v>5</v>
      </c>
      <c r="F68" s="22" t="s">
        <v>258</v>
      </c>
      <c r="G68" s="21">
        <v>5</v>
      </c>
    </row>
    <row r="69" spans="1:7" x14ac:dyDescent="0.3">
      <c r="A69" s="9"/>
      <c r="B69" s="9"/>
      <c r="C69" s="21" t="s">
        <v>133</v>
      </c>
      <c r="D69" s="22" t="s">
        <v>259</v>
      </c>
      <c r="E69" s="21">
        <v>3</v>
      </c>
      <c r="F69" s="22" t="s">
        <v>260</v>
      </c>
      <c r="G69" s="21">
        <v>3</v>
      </c>
    </row>
    <row r="70" spans="1:7" x14ac:dyDescent="0.3">
      <c r="A70" s="9"/>
      <c r="B70" s="9"/>
      <c r="C70" s="21" t="s">
        <v>136</v>
      </c>
      <c r="D70" s="22" t="s">
        <v>261</v>
      </c>
      <c r="E70" s="21">
        <v>4</v>
      </c>
      <c r="F70" s="22" t="s">
        <v>262</v>
      </c>
      <c r="G70" s="21">
        <v>4</v>
      </c>
    </row>
    <row r="71" spans="1:7" ht="15" customHeight="1" x14ac:dyDescent="0.3">
      <c r="A71" s="9" t="s">
        <v>113</v>
      </c>
      <c r="B71" s="8" t="s">
        <v>114</v>
      </c>
      <c r="C71" s="21" t="s">
        <v>130</v>
      </c>
      <c r="D71" s="22" t="s">
        <v>263</v>
      </c>
      <c r="E71" s="21">
        <v>3</v>
      </c>
      <c r="F71" s="22" t="s">
        <v>264</v>
      </c>
      <c r="G71" s="21">
        <v>3</v>
      </c>
    </row>
    <row r="72" spans="1:7" x14ac:dyDescent="0.3">
      <c r="A72" s="9"/>
      <c r="B72" s="9"/>
      <c r="C72" s="21" t="s">
        <v>133</v>
      </c>
      <c r="D72" s="22" t="s">
        <v>265</v>
      </c>
      <c r="E72" s="21">
        <v>3</v>
      </c>
      <c r="F72" s="22" t="s">
        <v>266</v>
      </c>
      <c r="G72" s="21">
        <v>3</v>
      </c>
    </row>
    <row r="73" spans="1:7" ht="22.8" x14ac:dyDescent="0.3">
      <c r="A73" s="9"/>
      <c r="B73" s="9"/>
      <c r="C73" s="21" t="s">
        <v>136</v>
      </c>
      <c r="D73" s="22" t="s">
        <v>267</v>
      </c>
      <c r="E73" s="21">
        <v>2</v>
      </c>
      <c r="F73" s="22" t="s">
        <v>268</v>
      </c>
      <c r="G73" s="21">
        <v>2</v>
      </c>
    </row>
    <row r="74" spans="1:7" ht="22.35" customHeight="1" x14ac:dyDescent="0.3">
      <c r="A74" s="9" t="s">
        <v>116</v>
      </c>
      <c r="B74" s="8" t="s">
        <v>117</v>
      </c>
      <c r="C74" s="21" t="s">
        <v>130</v>
      </c>
      <c r="D74" s="22" t="s">
        <v>269</v>
      </c>
      <c r="E74" s="21">
        <v>4</v>
      </c>
      <c r="F74" s="22" t="s">
        <v>270</v>
      </c>
      <c r="G74" s="21">
        <v>5</v>
      </c>
    </row>
    <row r="75" spans="1:7" ht="22.8" x14ac:dyDescent="0.3">
      <c r="A75" s="9"/>
      <c r="B75" s="9"/>
      <c r="C75" s="21" t="s">
        <v>133</v>
      </c>
      <c r="D75" s="22" t="s">
        <v>271</v>
      </c>
      <c r="E75" s="21">
        <v>4</v>
      </c>
      <c r="F75" s="22" t="s">
        <v>272</v>
      </c>
      <c r="G75" s="21">
        <v>4</v>
      </c>
    </row>
    <row r="76" spans="1:7" ht="22.8" x14ac:dyDescent="0.3">
      <c r="A76" s="9"/>
      <c r="B76" s="9"/>
      <c r="C76" s="21" t="s">
        <v>136</v>
      </c>
      <c r="D76" s="22" t="s">
        <v>273</v>
      </c>
      <c r="E76" s="21">
        <v>4</v>
      </c>
      <c r="F76" s="22" t="s">
        <v>274</v>
      </c>
      <c r="G76" s="21">
        <v>4</v>
      </c>
    </row>
    <row r="77" spans="1:7" ht="15" customHeight="1" x14ac:dyDescent="0.3">
      <c r="A77" s="9" t="s">
        <v>119</v>
      </c>
      <c r="B77" s="8" t="s">
        <v>120</v>
      </c>
      <c r="C77" s="21" t="s">
        <v>130</v>
      </c>
      <c r="D77" s="22" t="s">
        <v>275</v>
      </c>
      <c r="E77" s="21">
        <v>3</v>
      </c>
      <c r="F77" s="22" t="s">
        <v>276</v>
      </c>
      <c r="G77" s="21">
        <v>3</v>
      </c>
    </row>
    <row r="78" spans="1:7" ht="22.8" x14ac:dyDescent="0.3">
      <c r="A78" s="9"/>
      <c r="B78" s="9"/>
      <c r="C78" s="21" t="s">
        <v>133</v>
      </c>
      <c r="D78" s="22" t="s">
        <v>277</v>
      </c>
      <c r="E78" s="21">
        <v>3</v>
      </c>
      <c r="F78" s="22" t="s">
        <v>278</v>
      </c>
      <c r="G78" s="21">
        <v>4</v>
      </c>
    </row>
    <row r="79" spans="1:7" ht="22.8" x14ac:dyDescent="0.3">
      <c r="A79" s="9"/>
      <c r="B79" s="9"/>
      <c r="C79" s="21" t="s">
        <v>136</v>
      </c>
      <c r="D79" s="22" t="s">
        <v>279</v>
      </c>
      <c r="E79" s="21">
        <v>3</v>
      </c>
      <c r="F79" s="22" t="s">
        <v>280</v>
      </c>
      <c r="G79" s="21">
        <v>3</v>
      </c>
    </row>
  </sheetData>
  <mergeCells count="53">
    <mergeCell ref="A77:A79"/>
    <mergeCell ref="B77:B79"/>
    <mergeCell ref="A68:A70"/>
    <mergeCell ref="B68:B70"/>
    <mergeCell ref="A71:A73"/>
    <mergeCell ref="B71:B73"/>
    <mergeCell ref="A74:A76"/>
    <mergeCell ref="B74:B76"/>
    <mergeCell ref="A61:G61"/>
    <mergeCell ref="A62:A64"/>
    <mergeCell ref="B62:B64"/>
    <mergeCell ref="A65:A67"/>
    <mergeCell ref="B65:B67"/>
    <mergeCell ref="A52:A54"/>
    <mergeCell ref="B52:B54"/>
    <mergeCell ref="A55:A57"/>
    <mergeCell ref="B55:B57"/>
    <mergeCell ref="A58:A60"/>
    <mergeCell ref="B58:B60"/>
    <mergeCell ref="A43:A45"/>
    <mergeCell ref="B43:B45"/>
    <mergeCell ref="A46:A48"/>
    <mergeCell ref="B46:B48"/>
    <mergeCell ref="A49:A51"/>
    <mergeCell ref="B49:B51"/>
    <mergeCell ref="A36:A38"/>
    <mergeCell ref="B36:B38"/>
    <mergeCell ref="A39:G39"/>
    <mergeCell ref="A40:A42"/>
    <mergeCell ref="B40:B42"/>
    <mergeCell ref="A27:A29"/>
    <mergeCell ref="B27:B29"/>
    <mergeCell ref="A30:A32"/>
    <mergeCell ref="B30:B32"/>
    <mergeCell ref="A33:A35"/>
    <mergeCell ref="B33:B35"/>
    <mergeCell ref="A18:A20"/>
    <mergeCell ref="B18:B20"/>
    <mergeCell ref="A21:A23"/>
    <mergeCell ref="B21:B23"/>
    <mergeCell ref="A24:A26"/>
    <mergeCell ref="B24:B26"/>
    <mergeCell ref="A9:A11"/>
    <mergeCell ref="B9:B11"/>
    <mergeCell ref="A12:A14"/>
    <mergeCell ref="B12:B14"/>
    <mergeCell ref="A15:A17"/>
    <mergeCell ref="B15:B17"/>
    <mergeCell ref="A1:G1"/>
    <mergeCell ref="A2:G2"/>
    <mergeCell ref="A5:G5"/>
    <mergeCell ref="A6:A8"/>
    <mergeCell ref="B6:B8"/>
  </mergeCells>
  <conditionalFormatting sqref="E5:E79">
    <cfRule type="cellIs" dxfId="5" priority="2" operator="greaterThanOrEqual">
      <formula>4</formula>
    </cfRule>
  </conditionalFormatting>
  <conditionalFormatting sqref="G5:G79">
    <cfRule type="cellIs" dxfId="4" priority="3" operator="greaterThanOrEqual">
      <formula>4</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2"/>
  <sheetViews>
    <sheetView showGridLines="0" zoomScaleNormal="100" workbookViewId="0">
      <pane ySplit="9" topLeftCell="A10" activePane="bottomLeft" state="frozen"/>
      <selection pane="bottomLeft" activeCell="H41" sqref="H41"/>
    </sheetView>
  </sheetViews>
  <sheetFormatPr baseColWidth="10" defaultColWidth="8.6640625" defaultRowHeight="14.4" x14ac:dyDescent="0.3"/>
  <cols>
    <col min="1" max="1" width="9" customWidth="1"/>
    <col min="2" max="2" width="30" customWidth="1"/>
    <col min="3" max="3" width="6" customWidth="1"/>
    <col min="4" max="4" width="38" customWidth="1"/>
    <col min="5" max="5" width="10" customWidth="1"/>
    <col min="6" max="6" width="42" customWidth="1"/>
    <col min="7" max="8" width="10" customWidth="1"/>
    <col min="9" max="9" width="16" customWidth="1"/>
  </cols>
  <sheetData>
    <row r="1" spans="1:9" ht="31.5" customHeight="1" x14ac:dyDescent="0.3">
      <c r="A1" s="14" t="s">
        <v>281</v>
      </c>
      <c r="B1" s="14"/>
      <c r="C1" s="14"/>
      <c r="D1" s="14"/>
      <c r="E1" s="14"/>
      <c r="F1" s="14"/>
      <c r="G1" s="14"/>
      <c r="H1" s="14"/>
      <c r="I1" s="14"/>
    </row>
    <row r="3" spans="1:9" ht="19.5" customHeight="1" x14ac:dyDescent="0.3">
      <c r="A3" s="7" t="s">
        <v>282</v>
      </c>
      <c r="B3" s="7"/>
      <c r="C3" s="7"/>
      <c r="D3" s="7"/>
      <c r="E3" s="7"/>
      <c r="F3" s="7"/>
      <c r="G3" s="7"/>
      <c r="H3" s="7"/>
      <c r="I3" s="7"/>
    </row>
    <row r="4" spans="1:9" ht="31.5" customHeight="1" x14ac:dyDescent="0.3">
      <c r="A4" s="6" t="s">
        <v>283</v>
      </c>
      <c r="B4" s="6"/>
      <c r="C4" s="6" t="s">
        <v>284</v>
      </c>
      <c r="D4" s="6"/>
      <c r="E4" s="6" t="s">
        <v>285</v>
      </c>
      <c r="F4" s="6"/>
      <c r="G4" s="6"/>
      <c r="H4" s="6"/>
      <c r="I4" s="17" t="s">
        <v>286</v>
      </c>
    </row>
    <row r="5" spans="1:9" ht="30" customHeight="1" x14ac:dyDescent="0.3">
      <c r="A5" s="5" t="s">
        <v>287</v>
      </c>
      <c r="B5" s="5"/>
      <c r="C5" s="4" t="s">
        <v>288</v>
      </c>
      <c r="D5" s="4"/>
      <c r="E5" s="8" t="s">
        <v>289</v>
      </c>
      <c r="F5" s="8"/>
      <c r="G5" s="8"/>
      <c r="H5" s="8"/>
      <c r="I5" s="18" t="s">
        <v>290</v>
      </c>
    </row>
    <row r="6" spans="1:9" ht="30" customHeight="1" x14ac:dyDescent="0.3">
      <c r="A6" s="3" t="s">
        <v>291</v>
      </c>
      <c r="B6" s="3"/>
      <c r="C6" s="4" t="s">
        <v>292</v>
      </c>
      <c r="D6" s="4"/>
      <c r="E6" s="8" t="s">
        <v>293</v>
      </c>
      <c r="F6" s="8"/>
      <c r="G6" s="8"/>
      <c r="H6" s="8"/>
      <c r="I6" s="18" t="s">
        <v>290</v>
      </c>
    </row>
    <row r="7" spans="1:9" ht="30" customHeight="1" x14ac:dyDescent="0.3">
      <c r="A7" s="2" t="s">
        <v>294</v>
      </c>
      <c r="B7" s="2"/>
      <c r="C7" s="4" t="s">
        <v>295</v>
      </c>
      <c r="D7" s="4"/>
      <c r="E7" s="8" t="s">
        <v>296</v>
      </c>
      <c r="F7" s="8"/>
      <c r="G7" s="8"/>
      <c r="H7" s="8"/>
      <c r="I7" s="18" t="s">
        <v>297</v>
      </c>
    </row>
    <row r="9" spans="1:9" ht="31.5" customHeight="1" x14ac:dyDescent="0.3">
      <c r="A9" s="17" t="s">
        <v>124</v>
      </c>
      <c r="B9" s="17" t="s">
        <v>41</v>
      </c>
      <c r="C9" s="17" t="s">
        <v>125</v>
      </c>
      <c r="D9" s="17" t="s">
        <v>126</v>
      </c>
      <c r="E9" s="17" t="s">
        <v>127</v>
      </c>
      <c r="F9" s="17" t="s">
        <v>128</v>
      </c>
      <c r="G9" s="17" t="s">
        <v>129</v>
      </c>
      <c r="H9" s="17" t="s">
        <v>298</v>
      </c>
      <c r="I9" s="17" t="s">
        <v>299</v>
      </c>
    </row>
    <row r="10" spans="1:9" x14ac:dyDescent="0.3">
      <c r="A10" s="11" t="s">
        <v>47</v>
      </c>
      <c r="B10" s="11"/>
      <c r="C10" s="11"/>
      <c r="D10" s="11"/>
      <c r="E10" s="11"/>
      <c r="F10" s="11"/>
      <c r="G10" s="11"/>
      <c r="H10" s="11"/>
      <c r="I10" s="11"/>
    </row>
    <row r="11" spans="1:9" x14ac:dyDescent="0.3">
      <c r="A11" s="23" t="s">
        <v>48</v>
      </c>
      <c r="B11" s="22" t="s">
        <v>49</v>
      </c>
      <c r="C11" s="23" t="s">
        <v>130</v>
      </c>
      <c r="D11" s="22" t="s">
        <v>131</v>
      </c>
      <c r="E11" s="23">
        <v>4</v>
      </c>
      <c r="F11" s="22" t="s">
        <v>132</v>
      </c>
      <c r="G11" s="23">
        <v>4</v>
      </c>
      <c r="H11" s="24">
        <f t="shared" ref="H11:H43" si="0">E11*G11</f>
        <v>16</v>
      </c>
      <c r="I11" s="25" t="str">
        <f t="shared" ref="I11:I43" si="1">IF(H11&gt;=19,"Catastrófico",IF(H11&gt;=9,"Alto","Moderado"))</f>
        <v>Alto</v>
      </c>
    </row>
    <row r="12" spans="1:9" x14ac:dyDescent="0.3">
      <c r="A12" s="23"/>
      <c r="B12" s="22"/>
      <c r="C12" s="23" t="s">
        <v>133</v>
      </c>
      <c r="D12" s="22" t="s">
        <v>134</v>
      </c>
      <c r="E12" s="23">
        <v>3</v>
      </c>
      <c r="F12" s="22" t="s">
        <v>135</v>
      </c>
      <c r="G12" s="23">
        <v>3</v>
      </c>
      <c r="H12" s="24">
        <f t="shared" si="0"/>
        <v>9</v>
      </c>
      <c r="I12" s="25" t="str">
        <f t="shared" si="1"/>
        <v>Alto</v>
      </c>
    </row>
    <row r="13" spans="1:9" ht="22.8" x14ac:dyDescent="0.3">
      <c r="A13" s="23"/>
      <c r="B13" s="22"/>
      <c r="C13" s="23" t="s">
        <v>136</v>
      </c>
      <c r="D13" s="22" t="s">
        <v>137</v>
      </c>
      <c r="E13" s="23">
        <v>3</v>
      </c>
      <c r="F13" s="22" t="s">
        <v>138</v>
      </c>
      <c r="G13" s="23">
        <v>4</v>
      </c>
      <c r="H13" s="24">
        <f t="shared" si="0"/>
        <v>12</v>
      </c>
      <c r="I13" s="25" t="str">
        <f t="shared" si="1"/>
        <v>Alto</v>
      </c>
    </row>
    <row r="14" spans="1:9" ht="22.8" x14ac:dyDescent="0.3">
      <c r="A14" s="23" t="s">
        <v>51</v>
      </c>
      <c r="B14" s="22" t="s">
        <v>139</v>
      </c>
      <c r="C14" s="23" t="s">
        <v>130</v>
      </c>
      <c r="D14" s="22" t="s">
        <v>140</v>
      </c>
      <c r="E14" s="23">
        <v>4</v>
      </c>
      <c r="F14" s="22" t="s">
        <v>141</v>
      </c>
      <c r="G14" s="23">
        <v>5</v>
      </c>
      <c r="H14" s="24">
        <f t="shared" si="0"/>
        <v>20</v>
      </c>
      <c r="I14" s="25" t="str">
        <f t="shared" si="1"/>
        <v>Catastrófico</v>
      </c>
    </row>
    <row r="15" spans="1:9" ht="22.8" x14ac:dyDescent="0.3">
      <c r="A15" s="23"/>
      <c r="B15" s="22"/>
      <c r="C15" s="23" t="s">
        <v>133</v>
      </c>
      <c r="D15" s="22" t="s">
        <v>142</v>
      </c>
      <c r="E15" s="23">
        <v>4</v>
      </c>
      <c r="F15" s="22" t="s">
        <v>143</v>
      </c>
      <c r="G15" s="23">
        <v>4</v>
      </c>
      <c r="H15" s="24">
        <f t="shared" si="0"/>
        <v>16</v>
      </c>
      <c r="I15" s="25" t="str">
        <f t="shared" si="1"/>
        <v>Alto</v>
      </c>
    </row>
    <row r="16" spans="1:9" ht="22.8" x14ac:dyDescent="0.3">
      <c r="A16" s="23"/>
      <c r="B16" s="22"/>
      <c r="C16" s="23" t="s">
        <v>136</v>
      </c>
      <c r="D16" s="22" t="s">
        <v>144</v>
      </c>
      <c r="E16" s="23">
        <v>3</v>
      </c>
      <c r="F16" s="22" t="s">
        <v>145</v>
      </c>
      <c r="G16" s="23">
        <v>3</v>
      </c>
      <c r="H16" s="24">
        <f t="shared" si="0"/>
        <v>9</v>
      </c>
      <c r="I16" s="25" t="str">
        <f t="shared" si="1"/>
        <v>Alto</v>
      </c>
    </row>
    <row r="17" spans="1:9" ht="22.8" x14ac:dyDescent="0.3">
      <c r="A17" s="23" t="s">
        <v>54</v>
      </c>
      <c r="B17" s="22" t="s">
        <v>55</v>
      </c>
      <c r="C17" s="23" t="s">
        <v>130</v>
      </c>
      <c r="D17" s="22" t="s">
        <v>146</v>
      </c>
      <c r="E17" s="23">
        <v>4</v>
      </c>
      <c r="F17" s="22" t="s">
        <v>147</v>
      </c>
      <c r="G17" s="23">
        <v>5</v>
      </c>
      <c r="H17" s="24">
        <f t="shared" si="0"/>
        <v>20</v>
      </c>
      <c r="I17" s="25" t="str">
        <f t="shared" si="1"/>
        <v>Catastrófico</v>
      </c>
    </row>
    <row r="18" spans="1:9" ht="22.8" x14ac:dyDescent="0.3">
      <c r="A18" s="23"/>
      <c r="B18" s="22"/>
      <c r="C18" s="23" t="s">
        <v>133</v>
      </c>
      <c r="D18" s="22" t="s">
        <v>148</v>
      </c>
      <c r="E18" s="23">
        <v>4</v>
      </c>
      <c r="F18" s="22" t="s">
        <v>149</v>
      </c>
      <c r="G18" s="23">
        <v>4</v>
      </c>
      <c r="H18" s="24">
        <f t="shared" si="0"/>
        <v>16</v>
      </c>
      <c r="I18" s="25" t="str">
        <f t="shared" si="1"/>
        <v>Alto</v>
      </c>
    </row>
    <row r="19" spans="1:9" x14ac:dyDescent="0.3">
      <c r="A19" s="23"/>
      <c r="B19" s="22"/>
      <c r="C19" s="23" t="s">
        <v>136</v>
      </c>
      <c r="D19" s="22" t="s">
        <v>150</v>
      </c>
      <c r="E19" s="23">
        <v>3</v>
      </c>
      <c r="F19" s="22" t="s">
        <v>151</v>
      </c>
      <c r="G19" s="23">
        <v>4</v>
      </c>
      <c r="H19" s="24">
        <f t="shared" si="0"/>
        <v>12</v>
      </c>
      <c r="I19" s="25" t="str">
        <f t="shared" si="1"/>
        <v>Alto</v>
      </c>
    </row>
    <row r="20" spans="1:9" ht="22.8" x14ac:dyDescent="0.3">
      <c r="A20" s="23" t="s">
        <v>57</v>
      </c>
      <c r="B20" s="22" t="s">
        <v>58</v>
      </c>
      <c r="C20" s="23" t="s">
        <v>130</v>
      </c>
      <c r="D20" s="22" t="s">
        <v>152</v>
      </c>
      <c r="E20" s="23">
        <v>3</v>
      </c>
      <c r="F20" s="22" t="s">
        <v>153</v>
      </c>
      <c r="G20" s="23">
        <v>4</v>
      </c>
      <c r="H20" s="24">
        <f t="shared" si="0"/>
        <v>12</v>
      </c>
      <c r="I20" s="25" t="str">
        <f t="shared" si="1"/>
        <v>Alto</v>
      </c>
    </row>
    <row r="21" spans="1:9" ht="22.8" x14ac:dyDescent="0.3">
      <c r="A21" s="23"/>
      <c r="B21" s="22"/>
      <c r="C21" s="23" t="s">
        <v>133</v>
      </c>
      <c r="D21" s="22" t="s">
        <v>154</v>
      </c>
      <c r="E21" s="23">
        <v>4</v>
      </c>
      <c r="F21" s="22" t="s">
        <v>155</v>
      </c>
      <c r="G21" s="23">
        <v>4</v>
      </c>
      <c r="H21" s="24">
        <f t="shared" si="0"/>
        <v>16</v>
      </c>
      <c r="I21" s="25" t="str">
        <f t="shared" si="1"/>
        <v>Alto</v>
      </c>
    </row>
    <row r="22" spans="1:9" x14ac:dyDescent="0.3">
      <c r="A22" s="23"/>
      <c r="B22" s="22"/>
      <c r="C22" s="23" t="s">
        <v>136</v>
      </c>
      <c r="D22" s="22" t="s">
        <v>156</v>
      </c>
      <c r="E22" s="23">
        <v>3</v>
      </c>
      <c r="F22" s="22" t="s">
        <v>157</v>
      </c>
      <c r="G22" s="23">
        <v>3</v>
      </c>
      <c r="H22" s="24">
        <f t="shared" si="0"/>
        <v>9</v>
      </c>
      <c r="I22" s="25" t="str">
        <f t="shared" si="1"/>
        <v>Alto</v>
      </c>
    </row>
    <row r="23" spans="1:9" x14ac:dyDescent="0.3">
      <c r="A23" s="23" t="s">
        <v>60</v>
      </c>
      <c r="B23" s="22" t="s">
        <v>61</v>
      </c>
      <c r="C23" s="23" t="s">
        <v>130</v>
      </c>
      <c r="D23" s="22" t="s">
        <v>158</v>
      </c>
      <c r="E23" s="23">
        <v>4</v>
      </c>
      <c r="F23" s="22" t="s">
        <v>159</v>
      </c>
      <c r="G23" s="23">
        <v>4</v>
      </c>
      <c r="H23" s="24">
        <f t="shared" si="0"/>
        <v>16</v>
      </c>
      <c r="I23" s="25" t="str">
        <f t="shared" si="1"/>
        <v>Alto</v>
      </c>
    </row>
    <row r="24" spans="1:9" x14ac:dyDescent="0.3">
      <c r="A24" s="23"/>
      <c r="B24" s="22"/>
      <c r="C24" s="23" t="s">
        <v>133</v>
      </c>
      <c r="D24" s="22" t="s">
        <v>160</v>
      </c>
      <c r="E24" s="23">
        <v>3</v>
      </c>
      <c r="F24" s="22" t="s">
        <v>161</v>
      </c>
      <c r="G24" s="23">
        <v>4</v>
      </c>
      <c r="H24" s="24">
        <f t="shared" si="0"/>
        <v>12</v>
      </c>
      <c r="I24" s="25" t="str">
        <f t="shared" si="1"/>
        <v>Alto</v>
      </c>
    </row>
    <row r="25" spans="1:9" x14ac:dyDescent="0.3">
      <c r="A25" s="23"/>
      <c r="B25" s="22"/>
      <c r="C25" s="23" t="s">
        <v>136</v>
      </c>
      <c r="D25" s="22" t="s">
        <v>162</v>
      </c>
      <c r="E25" s="23">
        <v>3</v>
      </c>
      <c r="F25" s="22" t="s">
        <v>163</v>
      </c>
      <c r="G25" s="23">
        <v>3</v>
      </c>
      <c r="H25" s="24">
        <f t="shared" si="0"/>
        <v>9</v>
      </c>
      <c r="I25" s="25" t="str">
        <f t="shared" si="1"/>
        <v>Alto</v>
      </c>
    </row>
    <row r="26" spans="1:9" ht="22.8" x14ac:dyDescent="0.3">
      <c r="A26" s="23" t="s">
        <v>63</v>
      </c>
      <c r="B26" s="22" t="s">
        <v>64</v>
      </c>
      <c r="C26" s="23" t="s">
        <v>130</v>
      </c>
      <c r="D26" s="22" t="s">
        <v>164</v>
      </c>
      <c r="E26" s="23">
        <v>4</v>
      </c>
      <c r="F26" s="22" t="s">
        <v>165</v>
      </c>
      <c r="G26" s="23">
        <v>4</v>
      </c>
      <c r="H26" s="24">
        <f t="shared" si="0"/>
        <v>16</v>
      </c>
      <c r="I26" s="25" t="str">
        <f t="shared" si="1"/>
        <v>Alto</v>
      </c>
    </row>
    <row r="27" spans="1:9" x14ac:dyDescent="0.3">
      <c r="A27" s="23"/>
      <c r="B27" s="22"/>
      <c r="C27" s="23" t="s">
        <v>133</v>
      </c>
      <c r="D27" s="22" t="s">
        <v>166</v>
      </c>
      <c r="E27" s="23">
        <v>3</v>
      </c>
      <c r="F27" s="22" t="s">
        <v>167</v>
      </c>
      <c r="G27" s="23">
        <v>3</v>
      </c>
      <c r="H27" s="24">
        <f t="shared" si="0"/>
        <v>9</v>
      </c>
      <c r="I27" s="25" t="str">
        <f t="shared" si="1"/>
        <v>Alto</v>
      </c>
    </row>
    <row r="28" spans="1:9" x14ac:dyDescent="0.3">
      <c r="A28" s="23"/>
      <c r="B28" s="22"/>
      <c r="C28" s="23" t="s">
        <v>136</v>
      </c>
      <c r="D28" s="22" t="s">
        <v>168</v>
      </c>
      <c r="E28" s="23">
        <v>3</v>
      </c>
      <c r="F28" s="22" t="s">
        <v>169</v>
      </c>
      <c r="G28" s="23">
        <v>3</v>
      </c>
      <c r="H28" s="24">
        <f t="shared" si="0"/>
        <v>9</v>
      </c>
      <c r="I28" s="25" t="str">
        <f t="shared" si="1"/>
        <v>Alto</v>
      </c>
    </row>
    <row r="29" spans="1:9" ht="22.8" x14ac:dyDescent="0.3">
      <c r="A29" s="23" t="s">
        <v>66</v>
      </c>
      <c r="B29" s="22" t="s">
        <v>67</v>
      </c>
      <c r="C29" s="23" t="s">
        <v>130</v>
      </c>
      <c r="D29" s="22" t="s">
        <v>170</v>
      </c>
      <c r="E29" s="23">
        <v>4</v>
      </c>
      <c r="F29" s="22" t="s">
        <v>171</v>
      </c>
      <c r="G29" s="23">
        <v>5</v>
      </c>
      <c r="H29" s="24">
        <f t="shared" si="0"/>
        <v>20</v>
      </c>
      <c r="I29" s="25" t="str">
        <f t="shared" si="1"/>
        <v>Catastrófico</v>
      </c>
    </row>
    <row r="30" spans="1:9" x14ac:dyDescent="0.3">
      <c r="A30" s="23"/>
      <c r="B30" s="22"/>
      <c r="C30" s="23" t="s">
        <v>133</v>
      </c>
      <c r="D30" s="22" t="s">
        <v>172</v>
      </c>
      <c r="E30" s="23">
        <v>2</v>
      </c>
      <c r="F30" s="22" t="s">
        <v>173</v>
      </c>
      <c r="G30" s="23">
        <v>2</v>
      </c>
      <c r="H30" s="24">
        <f t="shared" si="0"/>
        <v>4</v>
      </c>
      <c r="I30" s="25" t="str">
        <f t="shared" si="1"/>
        <v>Moderado</v>
      </c>
    </row>
    <row r="31" spans="1:9" ht="22.8" x14ac:dyDescent="0.3">
      <c r="A31" s="23"/>
      <c r="B31" s="22"/>
      <c r="C31" s="23" t="s">
        <v>136</v>
      </c>
      <c r="D31" s="22" t="s">
        <v>174</v>
      </c>
      <c r="E31" s="23">
        <v>3</v>
      </c>
      <c r="F31" s="22" t="s">
        <v>175</v>
      </c>
      <c r="G31" s="23">
        <v>3</v>
      </c>
      <c r="H31" s="24">
        <f t="shared" si="0"/>
        <v>9</v>
      </c>
      <c r="I31" s="25" t="str">
        <f t="shared" si="1"/>
        <v>Alto</v>
      </c>
    </row>
    <row r="32" spans="1:9" ht="22.8" x14ac:dyDescent="0.3">
      <c r="A32" s="23" t="s">
        <v>69</v>
      </c>
      <c r="B32" s="22" t="s">
        <v>70</v>
      </c>
      <c r="C32" s="23" t="s">
        <v>130</v>
      </c>
      <c r="D32" s="22" t="s">
        <v>176</v>
      </c>
      <c r="E32" s="23">
        <v>3</v>
      </c>
      <c r="F32" s="22" t="s">
        <v>177</v>
      </c>
      <c r="G32" s="23">
        <v>3</v>
      </c>
      <c r="H32" s="24">
        <f t="shared" si="0"/>
        <v>9</v>
      </c>
      <c r="I32" s="25" t="str">
        <f t="shared" si="1"/>
        <v>Alto</v>
      </c>
    </row>
    <row r="33" spans="1:9" x14ac:dyDescent="0.3">
      <c r="A33" s="23"/>
      <c r="B33" s="22"/>
      <c r="C33" s="23" t="s">
        <v>133</v>
      </c>
      <c r="D33" s="22" t="s">
        <v>178</v>
      </c>
      <c r="E33" s="23">
        <v>3</v>
      </c>
      <c r="F33" s="22" t="s">
        <v>179</v>
      </c>
      <c r="G33" s="23">
        <v>3</v>
      </c>
      <c r="H33" s="24">
        <f t="shared" si="0"/>
        <v>9</v>
      </c>
      <c r="I33" s="25" t="str">
        <f t="shared" si="1"/>
        <v>Alto</v>
      </c>
    </row>
    <row r="34" spans="1:9" x14ac:dyDescent="0.3">
      <c r="A34" s="23"/>
      <c r="B34" s="22"/>
      <c r="C34" s="23" t="s">
        <v>136</v>
      </c>
      <c r="D34" s="22" t="s">
        <v>180</v>
      </c>
      <c r="E34" s="23">
        <v>3</v>
      </c>
      <c r="F34" s="22" t="s">
        <v>181</v>
      </c>
      <c r="G34" s="23">
        <v>3</v>
      </c>
      <c r="H34" s="24">
        <f t="shared" si="0"/>
        <v>9</v>
      </c>
      <c r="I34" s="25" t="str">
        <f t="shared" si="1"/>
        <v>Alto</v>
      </c>
    </row>
    <row r="35" spans="1:9" x14ac:dyDescent="0.3">
      <c r="A35" s="23" t="s">
        <v>72</v>
      </c>
      <c r="B35" s="22" t="s">
        <v>182</v>
      </c>
      <c r="C35" s="23" t="s">
        <v>130</v>
      </c>
      <c r="D35" s="22" t="s">
        <v>183</v>
      </c>
      <c r="E35" s="23">
        <v>4</v>
      </c>
      <c r="F35" s="22" t="s">
        <v>184</v>
      </c>
      <c r="G35" s="23">
        <v>5</v>
      </c>
      <c r="H35" s="24">
        <f t="shared" si="0"/>
        <v>20</v>
      </c>
      <c r="I35" s="25" t="str">
        <f t="shared" si="1"/>
        <v>Catastrófico</v>
      </c>
    </row>
    <row r="36" spans="1:9" ht="22.8" x14ac:dyDescent="0.3">
      <c r="A36" s="23"/>
      <c r="B36" s="22"/>
      <c r="C36" s="23" t="s">
        <v>133</v>
      </c>
      <c r="D36" s="22" t="s">
        <v>185</v>
      </c>
      <c r="E36" s="23">
        <v>4</v>
      </c>
      <c r="F36" s="22" t="s">
        <v>186</v>
      </c>
      <c r="G36" s="23">
        <v>5</v>
      </c>
      <c r="H36" s="24">
        <f t="shared" si="0"/>
        <v>20</v>
      </c>
      <c r="I36" s="25" t="str">
        <f t="shared" si="1"/>
        <v>Catastrófico</v>
      </c>
    </row>
    <row r="37" spans="1:9" x14ac:dyDescent="0.3">
      <c r="A37" s="23"/>
      <c r="B37" s="22"/>
      <c r="C37" s="23" t="s">
        <v>136</v>
      </c>
      <c r="D37" s="22" t="s">
        <v>187</v>
      </c>
      <c r="E37" s="23">
        <v>4</v>
      </c>
      <c r="F37" s="22" t="s">
        <v>188</v>
      </c>
      <c r="G37" s="23">
        <v>4</v>
      </c>
      <c r="H37" s="24">
        <f t="shared" si="0"/>
        <v>16</v>
      </c>
      <c r="I37" s="25" t="str">
        <f t="shared" si="1"/>
        <v>Alto</v>
      </c>
    </row>
    <row r="38" spans="1:9" x14ac:dyDescent="0.3">
      <c r="A38" s="23" t="s">
        <v>75</v>
      </c>
      <c r="B38" s="22" t="s">
        <v>76</v>
      </c>
      <c r="C38" s="23" t="s">
        <v>130</v>
      </c>
      <c r="D38" s="22" t="s">
        <v>189</v>
      </c>
      <c r="E38" s="23">
        <v>5</v>
      </c>
      <c r="F38" s="22" t="s">
        <v>190</v>
      </c>
      <c r="G38" s="23">
        <v>5</v>
      </c>
      <c r="H38" s="24">
        <f t="shared" si="0"/>
        <v>25</v>
      </c>
      <c r="I38" s="25" t="str">
        <f t="shared" si="1"/>
        <v>Catastrófico</v>
      </c>
    </row>
    <row r="39" spans="1:9" x14ac:dyDescent="0.3">
      <c r="A39" s="23"/>
      <c r="B39" s="22"/>
      <c r="C39" s="23" t="s">
        <v>133</v>
      </c>
      <c r="D39" s="22" t="s">
        <v>191</v>
      </c>
      <c r="E39" s="23">
        <v>4</v>
      </c>
      <c r="F39" s="22" t="s">
        <v>192</v>
      </c>
      <c r="G39" s="23">
        <v>4</v>
      </c>
      <c r="H39" s="24">
        <f t="shared" si="0"/>
        <v>16</v>
      </c>
      <c r="I39" s="25" t="str">
        <f t="shared" si="1"/>
        <v>Alto</v>
      </c>
    </row>
    <row r="40" spans="1:9" ht="22.8" x14ac:dyDescent="0.3">
      <c r="A40" s="23"/>
      <c r="B40" s="22"/>
      <c r="C40" s="23" t="s">
        <v>136</v>
      </c>
      <c r="D40" s="22" t="s">
        <v>193</v>
      </c>
      <c r="E40" s="23">
        <v>4</v>
      </c>
      <c r="F40" s="22" t="s">
        <v>194</v>
      </c>
      <c r="G40" s="23">
        <v>4</v>
      </c>
      <c r="H40" s="24">
        <f t="shared" si="0"/>
        <v>16</v>
      </c>
      <c r="I40" s="25" t="str">
        <f t="shared" si="1"/>
        <v>Alto</v>
      </c>
    </row>
    <row r="41" spans="1:9" x14ac:dyDescent="0.3">
      <c r="A41" s="23" t="s">
        <v>78</v>
      </c>
      <c r="B41" s="22" t="s">
        <v>79</v>
      </c>
      <c r="C41" s="23" t="s">
        <v>130</v>
      </c>
      <c r="D41" s="22" t="s">
        <v>195</v>
      </c>
      <c r="E41" s="23">
        <v>2</v>
      </c>
      <c r="F41" s="22" t="s">
        <v>196</v>
      </c>
      <c r="G41" s="23">
        <v>3</v>
      </c>
      <c r="H41" s="24">
        <f t="shared" si="0"/>
        <v>6</v>
      </c>
      <c r="I41" s="25" t="str">
        <f t="shared" si="1"/>
        <v>Moderado</v>
      </c>
    </row>
    <row r="42" spans="1:9" x14ac:dyDescent="0.3">
      <c r="A42" s="23"/>
      <c r="B42" s="22"/>
      <c r="C42" s="23" t="s">
        <v>133</v>
      </c>
      <c r="D42" s="22" t="s">
        <v>197</v>
      </c>
      <c r="E42" s="23">
        <v>2</v>
      </c>
      <c r="F42" s="22" t="s">
        <v>198</v>
      </c>
      <c r="G42" s="23">
        <v>3</v>
      </c>
      <c r="H42" s="24">
        <f t="shared" si="0"/>
        <v>6</v>
      </c>
      <c r="I42" s="25" t="str">
        <f t="shared" si="1"/>
        <v>Moderado</v>
      </c>
    </row>
    <row r="43" spans="1:9" ht="22.8" x14ac:dyDescent="0.3">
      <c r="A43" s="23"/>
      <c r="B43" s="22"/>
      <c r="C43" s="23" t="s">
        <v>136</v>
      </c>
      <c r="D43" s="22" t="s">
        <v>199</v>
      </c>
      <c r="E43" s="23">
        <v>3</v>
      </c>
      <c r="F43" s="22" t="s">
        <v>200</v>
      </c>
      <c r="G43" s="23">
        <v>3</v>
      </c>
      <c r="H43" s="24">
        <f t="shared" si="0"/>
        <v>9</v>
      </c>
      <c r="I43" s="25" t="str">
        <f t="shared" si="1"/>
        <v>Alto</v>
      </c>
    </row>
    <row r="44" spans="1:9" x14ac:dyDescent="0.3">
      <c r="A44" s="11" t="s">
        <v>81</v>
      </c>
      <c r="B44" s="11"/>
      <c r="C44" s="11"/>
      <c r="D44" s="11"/>
      <c r="E44" s="11"/>
      <c r="F44" s="11"/>
      <c r="G44" s="11"/>
      <c r="H44" s="11"/>
      <c r="I44" s="11"/>
    </row>
    <row r="45" spans="1:9" ht="22.8" x14ac:dyDescent="0.3">
      <c r="A45" s="23" t="s">
        <v>82</v>
      </c>
      <c r="B45" s="22" t="s">
        <v>201</v>
      </c>
      <c r="C45" s="23" t="s">
        <v>130</v>
      </c>
      <c r="D45" s="22" t="s">
        <v>202</v>
      </c>
      <c r="E45" s="23">
        <v>4</v>
      </c>
      <c r="F45" s="22" t="s">
        <v>203</v>
      </c>
      <c r="G45" s="23">
        <v>4</v>
      </c>
      <c r="H45" s="24">
        <f t="shared" ref="H45:H65" si="2">E45*G45</f>
        <v>16</v>
      </c>
      <c r="I45" s="25" t="str">
        <f t="shared" ref="I45:I65" si="3">IF(H45&gt;=19,"Catastrófico",IF(H45&gt;=9,"Alto","Moderado"))</f>
        <v>Alto</v>
      </c>
    </row>
    <row r="46" spans="1:9" x14ac:dyDescent="0.3">
      <c r="A46" s="23"/>
      <c r="B46" s="22"/>
      <c r="C46" s="23" t="s">
        <v>133</v>
      </c>
      <c r="D46" s="22" t="s">
        <v>204</v>
      </c>
      <c r="E46" s="23">
        <v>4</v>
      </c>
      <c r="F46" s="22" t="s">
        <v>205</v>
      </c>
      <c r="G46" s="23">
        <v>4</v>
      </c>
      <c r="H46" s="24">
        <f t="shared" si="2"/>
        <v>16</v>
      </c>
      <c r="I46" s="25" t="str">
        <f t="shared" si="3"/>
        <v>Alto</v>
      </c>
    </row>
    <row r="47" spans="1:9" x14ac:dyDescent="0.3">
      <c r="A47" s="23"/>
      <c r="B47" s="22"/>
      <c r="C47" s="23" t="s">
        <v>136</v>
      </c>
      <c r="D47" s="22" t="s">
        <v>206</v>
      </c>
      <c r="E47" s="23">
        <v>3</v>
      </c>
      <c r="F47" s="22" t="s">
        <v>207</v>
      </c>
      <c r="G47" s="23">
        <v>4</v>
      </c>
      <c r="H47" s="24">
        <f t="shared" si="2"/>
        <v>12</v>
      </c>
      <c r="I47" s="25" t="str">
        <f t="shared" si="3"/>
        <v>Alto</v>
      </c>
    </row>
    <row r="48" spans="1:9" ht="22.8" x14ac:dyDescent="0.3">
      <c r="A48" s="23" t="s">
        <v>85</v>
      </c>
      <c r="B48" s="22" t="s">
        <v>86</v>
      </c>
      <c r="C48" s="23" t="s">
        <v>130</v>
      </c>
      <c r="D48" s="22" t="s">
        <v>208</v>
      </c>
      <c r="E48" s="23">
        <v>4</v>
      </c>
      <c r="F48" s="22" t="s">
        <v>209</v>
      </c>
      <c r="G48" s="23">
        <v>5</v>
      </c>
      <c r="H48" s="24">
        <f t="shared" si="2"/>
        <v>20</v>
      </c>
      <c r="I48" s="25" t="str">
        <f t="shared" si="3"/>
        <v>Catastrófico</v>
      </c>
    </row>
    <row r="49" spans="1:9" x14ac:dyDescent="0.3">
      <c r="A49" s="23"/>
      <c r="B49" s="22"/>
      <c r="C49" s="23" t="s">
        <v>133</v>
      </c>
      <c r="D49" s="22" t="s">
        <v>210</v>
      </c>
      <c r="E49" s="23">
        <v>4</v>
      </c>
      <c r="F49" s="22" t="s">
        <v>211</v>
      </c>
      <c r="G49" s="23">
        <v>5</v>
      </c>
      <c r="H49" s="24">
        <f t="shared" si="2"/>
        <v>20</v>
      </c>
      <c r="I49" s="25" t="str">
        <f t="shared" si="3"/>
        <v>Catastrófico</v>
      </c>
    </row>
    <row r="50" spans="1:9" x14ac:dyDescent="0.3">
      <c r="A50" s="23"/>
      <c r="B50" s="22"/>
      <c r="C50" s="23" t="s">
        <v>136</v>
      </c>
      <c r="D50" s="22" t="s">
        <v>212</v>
      </c>
      <c r="E50" s="23">
        <v>4</v>
      </c>
      <c r="F50" s="22" t="s">
        <v>213</v>
      </c>
      <c r="G50" s="23">
        <v>4</v>
      </c>
      <c r="H50" s="24">
        <f t="shared" si="2"/>
        <v>16</v>
      </c>
      <c r="I50" s="25" t="str">
        <f t="shared" si="3"/>
        <v>Alto</v>
      </c>
    </row>
    <row r="51" spans="1:9" ht="22.8" x14ac:dyDescent="0.3">
      <c r="A51" s="23" t="s">
        <v>88</v>
      </c>
      <c r="B51" s="22" t="s">
        <v>214</v>
      </c>
      <c r="C51" s="23" t="s">
        <v>130</v>
      </c>
      <c r="D51" s="22" t="s">
        <v>215</v>
      </c>
      <c r="E51" s="23">
        <v>3</v>
      </c>
      <c r="F51" s="22" t="s">
        <v>216</v>
      </c>
      <c r="G51" s="23">
        <v>3</v>
      </c>
      <c r="H51" s="24">
        <f t="shared" si="2"/>
        <v>9</v>
      </c>
      <c r="I51" s="25" t="str">
        <f t="shared" si="3"/>
        <v>Alto</v>
      </c>
    </row>
    <row r="52" spans="1:9" x14ac:dyDescent="0.3">
      <c r="A52" s="23"/>
      <c r="B52" s="22"/>
      <c r="C52" s="23" t="s">
        <v>133</v>
      </c>
      <c r="D52" s="22" t="s">
        <v>217</v>
      </c>
      <c r="E52" s="23">
        <v>3</v>
      </c>
      <c r="F52" s="22" t="s">
        <v>218</v>
      </c>
      <c r="G52" s="23">
        <v>3</v>
      </c>
      <c r="H52" s="24">
        <f t="shared" si="2"/>
        <v>9</v>
      </c>
      <c r="I52" s="25" t="str">
        <f t="shared" si="3"/>
        <v>Alto</v>
      </c>
    </row>
    <row r="53" spans="1:9" x14ac:dyDescent="0.3">
      <c r="A53" s="23"/>
      <c r="B53" s="22"/>
      <c r="C53" s="23" t="s">
        <v>136</v>
      </c>
      <c r="D53" s="22" t="s">
        <v>219</v>
      </c>
      <c r="E53" s="23">
        <v>3</v>
      </c>
      <c r="F53" s="22" t="s">
        <v>220</v>
      </c>
      <c r="G53" s="23">
        <v>4</v>
      </c>
      <c r="H53" s="24">
        <f t="shared" si="2"/>
        <v>12</v>
      </c>
      <c r="I53" s="25" t="str">
        <f t="shared" si="3"/>
        <v>Alto</v>
      </c>
    </row>
    <row r="54" spans="1:9" x14ac:dyDescent="0.3">
      <c r="A54" s="23" t="s">
        <v>91</v>
      </c>
      <c r="B54" s="22" t="s">
        <v>92</v>
      </c>
      <c r="C54" s="23" t="s">
        <v>130</v>
      </c>
      <c r="D54" s="22" t="s">
        <v>221</v>
      </c>
      <c r="E54" s="23">
        <v>3</v>
      </c>
      <c r="F54" s="22" t="s">
        <v>222</v>
      </c>
      <c r="G54" s="23">
        <v>3</v>
      </c>
      <c r="H54" s="24">
        <f t="shared" si="2"/>
        <v>9</v>
      </c>
      <c r="I54" s="25" t="str">
        <f t="shared" si="3"/>
        <v>Alto</v>
      </c>
    </row>
    <row r="55" spans="1:9" x14ac:dyDescent="0.3">
      <c r="A55" s="23"/>
      <c r="B55" s="22"/>
      <c r="C55" s="23" t="s">
        <v>133</v>
      </c>
      <c r="D55" s="22" t="s">
        <v>223</v>
      </c>
      <c r="E55" s="23">
        <v>2</v>
      </c>
      <c r="F55" s="22" t="s">
        <v>224</v>
      </c>
      <c r="G55" s="23">
        <v>2</v>
      </c>
      <c r="H55" s="24">
        <f t="shared" si="2"/>
        <v>4</v>
      </c>
      <c r="I55" s="25" t="str">
        <f t="shared" si="3"/>
        <v>Moderado</v>
      </c>
    </row>
    <row r="56" spans="1:9" ht="22.8" x14ac:dyDescent="0.3">
      <c r="A56" s="23"/>
      <c r="B56" s="22"/>
      <c r="C56" s="23" t="s">
        <v>136</v>
      </c>
      <c r="D56" s="22" t="s">
        <v>225</v>
      </c>
      <c r="E56" s="23">
        <v>4</v>
      </c>
      <c r="F56" s="22" t="s">
        <v>226</v>
      </c>
      <c r="G56" s="23">
        <v>4</v>
      </c>
      <c r="H56" s="24">
        <f t="shared" si="2"/>
        <v>16</v>
      </c>
      <c r="I56" s="25" t="str">
        <f t="shared" si="3"/>
        <v>Alto</v>
      </c>
    </row>
    <row r="57" spans="1:9" ht="22.8" x14ac:dyDescent="0.3">
      <c r="A57" s="23" t="s">
        <v>94</v>
      </c>
      <c r="B57" s="22" t="s">
        <v>95</v>
      </c>
      <c r="C57" s="23" t="s">
        <v>130</v>
      </c>
      <c r="D57" s="22" t="s">
        <v>227</v>
      </c>
      <c r="E57" s="23">
        <v>3</v>
      </c>
      <c r="F57" s="22" t="s">
        <v>228</v>
      </c>
      <c r="G57" s="23">
        <v>3</v>
      </c>
      <c r="H57" s="24">
        <f t="shared" si="2"/>
        <v>9</v>
      </c>
      <c r="I57" s="25" t="str">
        <f t="shared" si="3"/>
        <v>Alto</v>
      </c>
    </row>
    <row r="58" spans="1:9" ht="22.8" x14ac:dyDescent="0.3">
      <c r="A58" s="23"/>
      <c r="B58" s="22"/>
      <c r="C58" s="23" t="s">
        <v>133</v>
      </c>
      <c r="D58" s="22" t="s">
        <v>229</v>
      </c>
      <c r="E58" s="23">
        <v>3</v>
      </c>
      <c r="F58" s="22" t="s">
        <v>230</v>
      </c>
      <c r="G58" s="23">
        <v>3</v>
      </c>
      <c r="H58" s="24">
        <f t="shared" si="2"/>
        <v>9</v>
      </c>
      <c r="I58" s="25" t="str">
        <f t="shared" si="3"/>
        <v>Alto</v>
      </c>
    </row>
    <row r="59" spans="1:9" x14ac:dyDescent="0.3">
      <c r="A59" s="23"/>
      <c r="B59" s="22"/>
      <c r="C59" s="23" t="s">
        <v>136</v>
      </c>
      <c r="D59" s="22" t="s">
        <v>231</v>
      </c>
      <c r="E59" s="23">
        <v>3</v>
      </c>
      <c r="F59" s="22" t="s">
        <v>232</v>
      </c>
      <c r="G59" s="23">
        <v>3</v>
      </c>
      <c r="H59" s="24">
        <f t="shared" si="2"/>
        <v>9</v>
      </c>
      <c r="I59" s="25" t="str">
        <f t="shared" si="3"/>
        <v>Alto</v>
      </c>
    </row>
    <row r="60" spans="1:9" x14ac:dyDescent="0.3">
      <c r="A60" s="23" t="s">
        <v>97</v>
      </c>
      <c r="B60" s="22" t="s">
        <v>98</v>
      </c>
      <c r="C60" s="23" t="s">
        <v>130</v>
      </c>
      <c r="D60" s="22" t="s">
        <v>233</v>
      </c>
      <c r="E60" s="23">
        <v>2</v>
      </c>
      <c r="F60" s="22" t="s">
        <v>234</v>
      </c>
      <c r="G60" s="23">
        <v>2</v>
      </c>
      <c r="H60" s="24">
        <f t="shared" si="2"/>
        <v>4</v>
      </c>
      <c r="I60" s="25" t="str">
        <f t="shared" si="3"/>
        <v>Moderado</v>
      </c>
    </row>
    <row r="61" spans="1:9" x14ac:dyDescent="0.3">
      <c r="A61" s="23"/>
      <c r="B61" s="22"/>
      <c r="C61" s="23" t="s">
        <v>133</v>
      </c>
      <c r="D61" s="22" t="s">
        <v>235</v>
      </c>
      <c r="E61" s="23">
        <v>2</v>
      </c>
      <c r="F61" s="22" t="s">
        <v>236</v>
      </c>
      <c r="G61" s="23">
        <v>2</v>
      </c>
      <c r="H61" s="24">
        <f t="shared" si="2"/>
        <v>4</v>
      </c>
      <c r="I61" s="25" t="str">
        <f t="shared" si="3"/>
        <v>Moderado</v>
      </c>
    </row>
    <row r="62" spans="1:9" x14ac:dyDescent="0.3">
      <c r="A62" s="23"/>
      <c r="B62" s="22"/>
      <c r="C62" s="23" t="s">
        <v>136</v>
      </c>
      <c r="D62" s="22" t="s">
        <v>237</v>
      </c>
      <c r="E62" s="23">
        <v>3</v>
      </c>
      <c r="F62" s="22" t="s">
        <v>238</v>
      </c>
      <c r="G62" s="23">
        <v>3</v>
      </c>
      <c r="H62" s="24">
        <f t="shared" si="2"/>
        <v>9</v>
      </c>
      <c r="I62" s="25" t="str">
        <f t="shared" si="3"/>
        <v>Alto</v>
      </c>
    </row>
    <row r="63" spans="1:9" ht="22.8" x14ac:dyDescent="0.3">
      <c r="A63" s="23" t="s">
        <v>100</v>
      </c>
      <c r="B63" s="22" t="s">
        <v>101</v>
      </c>
      <c r="C63" s="23" t="s">
        <v>130</v>
      </c>
      <c r="D63" s="22" t="s">
        <v>239</v>
      </c>
      <c r="E63" s="23">
        <v>4</v>
      </c>
      <c r="F63" s="22" t="s">
        <v>240</v>
      </c>
      <c r="G63" s="23">
        <v>4</v>
      </c>
      <c r="H63" s="24">
        <f t="shared" si="2"/>
        <v>16</v>
      </c>
      <c r="I63" s="25" t="str">
        <f t="shared" si="3"/>
        <v>Alto</v>
      </c>
    </row>
    <row r="64" spans="1:9" x14ac:dyDescent="0.3">
      <c r="A64" s="23"/>
      <c r="B64" s="22"/>
      <c r="C64" s="23" t="s">
        <v>133</v>
      </c>
      <c r="D64" s="22" t="s">
        <v>241</v>
      </c>
      <c r="E64" s="23">
        <v>4</v>
      </c>
      <c r="F64" s="22" t="s">
        <v>242</v>
      </c>
      <c r="G64" s="23">
        <v>4</v>
      </c>
      <c r="H64" s="24">
        <f t="shared" si="2"/>
        <v>16</v>
      </c>
      <c r="I64" s="25" t="str">
        <f t="shared" si="3"/>
        <v>Alto</v>
      </c>
    </row>
    <row r="65" spans="1:9" x14ac:dyDescent="0.3">
      <c r="A65" s="23"/>
      <c r="B65" s="22"/>
      <c r="C65" s="23" t="s">
        <v>136</v>
      </c>
      <c r="D65" s="22" t="s">
        <v>243</v>
      </c>
      <c r="E65" s="23">
        <v>3</v>
      </c>
      <c r="F65" s="22" t="s">
        <v>244</v>
      </c>
      <c r="G65" s="23">
        <v>3</v>
      </c>
      <c r="H65" s="24">
        <f t="shared" si="2"/>
        <v>9</v>
      </c>
      <c r="I65" s="25" t="str">
        <f t="shared" si="3"/>
        <v>Alto</v>
      </c>
    </row>
    <row r="66" spans="1:9" x14ac:dyDescent="0.3">
      <c r="A66" s="11" t="s">
        <v>103</v>
      </c>
      <c r="B66" s="11"/>
      <c r="C66" s="11"/>
      <c r="D66" s="11"/>
      <c r="E66" s="11"/>
      <c r="F66" s="11"/>
      <c r="G66" s="11"/>
      <c r="H66" s="11"/>
      <c r="I66" s="11"/>
    </row>
    <row r="67" spans="1:9" ht="22.8" x14ac:dyDescent="0.3">
      <c r="A67" s="23" t="s">
        <v>104</v>
      </c>
      <c r="B67" s="22" t="s">
        <v>105</v>
      </c>
      <c r="C67" s="23" t="s">
        <v>130</v>
      </c>
      <c r="D67" s="22" t="s">
        <v>245</v>
      </c>
      <c r="E67" s="23">
        <v>3</v>
      </c>
      <c r="F67" s="22" t="s">
        <v>246</v>
      </c>
      <c r="G67" s="23">
        <v>4</v>
      </c>
      <c r="H67" s="24">
        <f t="shared" ref="H67:H84" si="4">E67*G67</f>
        <v>12</v>
      </c>
      <c r="I67" s="25" t="str">
        <f t="shared" ref="I67:I84" si="5">IF(H67&gt;=19,"Catastrófico",IF(H67&gt;=9,"Alto","Moderado"))</f>
        <v>Alto</v>
      </c>
    </row>
    <row r="68" spans="1:9" x14ac:dyDescent="0.3">
      <c r="A68" s="23"/>
      <c r="B68" s="22"/>
      <c r="C68" s="23" t="s">
        <v>133</v>
      </c>
      <c r="D68" s="22" t="s">
        <v>247</v>
      </c>
      <c r="E68" s="23">
        <v>4</v>
      </c>
      <c r="F68" s="22" t="s">
        <v>248</v>
      </c>
      <c r="G68" s="23">
        <v>4</v>
      </c>
      <c r="H68" s="24">
        <f t="shared" si="4"/>
        <v>16</v>
      </c>
      <c r="I68" s="25" t="str">
        <f t="shared" si="5"/>
        <v>Alto</v>
      </c>
    </row>
    <row r="69" spans="1:9" x14ac:dyDescent="0.3">
      <c r="A69" s="23"/>
      <c r="B69" s="22"/>
      <c r="C69" s="23" t="s">
        <v>136</v>
      </c>
      <c r="D69" s="22" t="s">
        <v>249</v>
      </c>
      <c r="E69" s="23">
        <v>3</v>
      </c>
      <c r="F69" s="22" t="s">
        <v>250</v>
      </c>
      <c r="G69" s="23">
        <v>3</v>
      </c>
      <c r="H69" s="24">
        <f t="shared" si="4"/>
        <v>9</v>
      </c>
      <c r="I69" s="25" t="str">
        <f t="shared" si="5"/>
        <v>Alto</v>
      </c>
    </row>
    <row r="70" spans="1:9" ht="22.8" x14ac:dyDescent="0.3">
      <c r="A70" s="23" t="s">
        <v>107</v>
      </c>
      <c r="B70" s="22" t="s">
        <v>108</v>
      </c>
      <c r="C70" s="23" t="s">
        <v>130</v>
      </c>
      <c r="D70" s="22" t="s">
        <v>251</v>
      </c>
      <c r="E70" s="23">
        <v>3</v>
      </c>
      <c r="F70" s="22" t="s">
        <v>252</v>
      </c>
      <c r="G70" s="23">
        <v>3</v>
      </c>
      <c r="H70" s="24">
        <f t="shared" si="4"/>
        <v>9</v>
      </c>
      <c r="I70" s="25" t="str">
        <f t="shared" si="5"/>
        <v>Alto</v>
      </c>
    </row>
    <row r="71" spans="1:9" x14ac:dyDescent="0.3">
      <c r="A71" s="23"/>
      <c r="B71" s="22"/>
      <c r="C71" s="23" t="s">
        <v>133</v>
      </c>
      <c r="D71" s="22" t="s">
        <v>253</v>
      </c>
      <c r="E71" s="23">
        <v>3</v>
      </c>
      <c r="F71" s="22" t="s">
        <v>254</v>
      </c>
      <c r="G71" s="23">
        <v>3</v>
      </c>
      <c r="H71" s="24">
        <f t="shared" si="4"/>
        <v>9</v>
      </c>
      <c r="I71" s="25" t="str">
        <f t="shared" si="5"/>
        <v>Alto</v>
      </c>
    </row>
    <row r="72" spans="1:9" x14ac:dyDescent="0.3">
      <c r="A72" s="23"/>
      <c r="B72" s="22"/>
      <c r="C72" s="23" t="s">
        <v>136</v>
      </c>
      <c r="D72" s="22" t="s">
        <v>255</v>
      </c>
      <c r="E72" s="23">
        <v>3</v>
      </c>
      <c r="F72" s="22" t="s">
        <v>256</v>
      </c>
      <c r="G72" s="23">
        <v>3</v>
      </c>
      <c r="H72" s="24">
        <f t="shared" si="4"/>
        <v>9</v>
      </c>
      <c r="I72" s="25" t="str">
        <f t="shared" si="5"/>
        <v>Alto</v>
      </c>
    </row>
    <row r="73" spans="1:9" ht="22.8" x14ac:dyDescent="0.3">
      <c r="A73" s="23" t="s">
        <v>110</v>
      </c>
      <c r="B73" s="22" t="s">
        <v>111</v>
      </c>
      <c r="C73" s="23" t="s">
        <v>130</v>
      </c>
      <c r="D73" s="22" t="s">
        <v>257</v>
      </c>
      <c r="E73" s="23">
        <v>5</v>
      </c>
      <c r="F73" s="22" t="s">
        <v>258</v>
      </c>
      <c r="G73" s="23">
        <v>5</v>
      </c>
      <c r="H73" s="24">
        <f t="shared" si="4"/>
        <v>25</v>
      </c>
      <c r="I73" s="25" t="str">
        <f t="shared" si="5"/>
        <v>Catastrófico</v>
      </c>
    </row>
    <row r="74" spans="1:9" x14ac:dyDescent="0.3">
      <c r="A74" s="23"/>
      <c r="B74" s="22"/>
      <c r="C74" s="23" t="s">
        <v>133</v>
      </c>
      <c r="D74" s="22" t="s">
        <v>259</v>
      </c>
      <c r="E74" s="23">
        <v>3</v>
      </c>
      <c r="F74" s="22" t="s">
        <v>260</v>
      </c>
      <c r="G74" s="23">
        <v>3</v>
      </c>
      <c r="H74" s="24">
        <f t="shared" si="4"/>
        <v>9</v>
      </c>
      <c r="I74" s="25" t="str">
        <f t="shared" si="5"/>
        <v>Alto</v>
      </c>
    </row>
    <row r="75" spans="1:9" x14ac:dyDescent="0.3">
      <c r="A75" s="23"/>
      <c r="B75" s="22"/>
      <c r="C75" s="23" t="s">
        <v>136</v>
      </c>
      <c r="D75" s="22" t="s">
        <v>261</v>
      </c>
      <c r="E75" s="23">
        <v>4</v>
      </c>
      <c r="F75" s="22" t="s">
        <v>262</v>
      </c>
      <c r="G75" s="23">
        <v>4</v>
      </c>
      <c r="H75" s="24">
        <f t="shared" si="4"/>
        <v>16</v>
      </c>
      <c r="I75" s="25" t="str">
        <f t="shared" si="5"/>
        <v>Alto</v>
      </c>
    </row>
    <row r="76" spans="1:9" x14ac:dyDescent="0.3">
      <c r="A76" s="23" t="s">
        <v>113</v>
      </c>
      <c r="B76" s="22" t="s">
        <v>114</v>
      </c>
      <c r="C76" s="23" t="s">
        <v>130</v>
      </c>
      <c r="D76" s="22" t="s">
        <v>263</v>
      </c>
      <c r="E76" s="23">
        <v>3</v>
      </c>
      <c r="F76" s="22" t="s">
        <v>264</v>
      </c>
      <c r="G76" s="23">
        <v>3</v>
      </c>
      <c r="H76" s="24">
        <f t="shared" si="4"/>
        <v>9</v>
      </c>
      <c r="I76" s="25" t="str">
        <f t="shared" si="5"/>
        <v>Alto</v>
      </c>
    </row>
    <row r="77" spans="1:9" x14ac:dyDescent="0.3">
      <c r="A77" s="23"/>
      <c r="B77" s="22"/>
      <c r="C77" s="23" t="s">
        <v>133</v>
      </c>
      <c r="D77" s="22" t="s">
        <v>265</v>
      </c>
      <c r="E77" s="23">
        <v>3</v>
      </c>
      <c r="F77" s="22" t="s">
        <v>266</v>
      </c>
      <c r="G77" s="23">
        <v>3</v>
      </c>
      <c r="H77" s="24">
        <f t="shared" si="4"/>
        <v>9</v>
      </c>
      <c r="I77" s="25" t="str">
        <f t="shared" si="5"/>
        <v>Alto</v>
      </c>
    </row>
    <row r="78" spans="1:9" ht="22.8" x14ac:dyDescent="0.3">
      <c r="A78" s="23"/>
      <c r="B78" s="22"/>
      <c r="C78" s="23" t="s">
        <v>136</v>
      </c>
      <c r="D78" s="22" t="s">
        <v>267</v>
      </c>
      <c r="E78" s="23">
        <v>2</v>
      </c>
      <c r="F78" s="22" t="s">
        <v>268</v>
      </c>
      <c r="G78" s="23">
        <v>2</v>
      </c>
      <c r="H78" s="24">
        <f t="shared" si="4"/>
        <v>4</v>
      </c>
      <c r="I78" s="25" t="str">
        <f t="shared" si="5"/>
        <v>Moderado</v>
      </c>
    </row>
    <row r="79" spans="1:9" ht="22.8" x14ac:dyDescent="0.3">
      <c r="A79" s="23" t="s">
        <v>116</v>
      </c>
      <c r="B79" s="22" t="s">
        <v>117</v>
      </c>
      <c r="C79" s="23" t="s">
        <v>130</v>
      </c>
      <c r="D79" s="22" t="s">
        <v>269</v>
      </c>
      <c r="E79" s="23">
        <v>4</v>
      </c>
      <c r="F79" s="22" t="s">
        <v>270</v>
      </c>
      <c r="G79" s="23">
        <v>5</v>
      </c>
      <c r="H79" s="24">
        <f t="shared" si="4"/>
        <v>20</v>
      </c>
      <c r="I79" s="25" t="str">
        <f t="shared" si="5"/>
        <v>Catastrófico</v>
      </c>
    </row>
    <row r="80" spans="1:9" ht="22.8" x14ac:dyDescent="0.3">
      <c r="A80" s="23"/>
      <c r="B80" s="22"/>
      <c r="C80" s="23" t="s">
        <v>133</v>
      </c>
      <c r="D80" s="22" t="s">
        <v>271</v>
      </c>
      <c r="E80" s="23">
        <v>4</v>
      </c>
      <c r="F80" s="22" t="s">
        <v>272</v>
      </c>
      <c r="G80" s="23">
        <v>4</v>
      </c>
      <c r="H80" s="24">
        <f t="shared" si="4"/>
        <v>16</v>
      </c>
      <c r="I80" s="25" t="str">
        <f t="shared" si="5"/>
        <v>Alto</v>
      </c>
    </row>
    <row r="81" spans="1:9" ht="22.8" x14ac:dyDescent="0.3">
      <c r="A81" s="23"/>
      <c r="B81" s="22"/>
      <c r="C81" s="23" t="s">
        <v>136</v>
      </c>
      <c r="D81" s="22" t="s">
        <v>273</v>
      </c>
      <c r="E81" s="23">
        <v>4</v>
      </c>
      <c r="F81" s="22" t="s">
        <v>274</v>
      </c>
      <c r="G81" s="23">
        <v>4</v>
      </c>
      <c r="H81" s="24">
        <f t="shared" si="4"/>
        <v>16</v>
      </c>
      <c r="I81" s="25" t="str">
        <f t="shared" si="5"/>
        <v>Alto</v>
      </c>
    </row>
    <row r="82" spans="1:9" ht="22.8" x14ac:dyDescent="0.3">
      <c r="A82" s="23" t="s">
        <v>119</v>
      </c>
      <c r="B82" s="22" t="s">
        <v>120</v>
      </c>
      <c r="C82" s="23" t="s">
        <v>130</v>
      </c>
      <c r="D82" s="22" t="s">
        <v>275</v>
      </c>
      <c r="E82" s="23">
        <v>3</v>
      </c>
      <c r="F82" s="22" t="s">
        <v>276</v>
      </c>
      <c r="G82" s="23">
        <v>3</v>
      </c>
      <c r="H82" s="24">
        <f t="shared" si="4"/>
        <v>9</v>
      </c>
      <c r="I82" s="25" t="str">
        <f t="shared" si="5"/>
        <v>Alto</v>
      </c>
    </row>
    <row r="83" spans="1:9" ht="22.8" x14ac:dyDescent="0.3">
      <c r="A83" s="23"/>
      <c r="B83" s="22"/>
      <c r="C83" s="23" t="s">
        <v>133</v>
      </c>
      <c r="D83" s="22" t="s">
        <v>277</v>
      </c>
      <c r="E83" s="23">
        <v>3</v>
      </c>
      <c r="F83" s="22" t="s">
        <v>278</v>
      </c>
      <c r="G83" s="23">
        <v>4</v>
      </c>
      <c r="H83" s="24">
        <f t="shared" si="4"/>
        <v>12</v>
      </c>
      <c r="I83" s="25" t="str">
        <f t="shared" si="5"/>
        <v>Alto</v>
      </c>
    </row>
    <row r="84" spans="1:9" ht="22.8" x14ac:dyDescent="0.3">
      <c r="A84" s="23"/>
      <c r="B84" s="22"/>
      <c r="C84" s="23" t="s">
        <v>136</v>
      </c>
      <c r="D84" s="22" t="s">
        <v>279</v>
      </c>
      <c r="E84" s="23">
        <v>3</v>
      </c>
      <c r="F84" s="22" t="s">
        <v>280</v>
      </c>
      <c r="G84" s="23">
        <v>3</v>
      </c>
      <c r="H84" s="24">
        <f t="shared" si="4"/>
        <v>9</v>
      </c>
      <c r="I84" s="25" t="str">
        <f t="shared" si="5"/>
        <v>Alto</v>
      </c>
    </row>
    <row r="87" spans="1:9" ht="21.75" customHeight="1" x14ac:dyDescent="0.3">
      <c r="A87" s="13" t="s">
        <v>300</v>
      </c>
      <c r="B87" s="13"/>
      <c r="C87" s="13"/>
      <c r="D87" s="13"/>
      <c r="E87" s="13"/>
      <c r="F87" s="13"/>
      <c r="G87" s="13"/>
      <c r="H87" s="13"/>
      <c r="I87" s="13"/>
    </row>
    <row r="88" spans="1:9" ht="21.75" customHeight="1" x14ac:dyDescent="0.3">
      <c r="A88" s="1" t="s">
        <v>301</v>
      </c>
      <c r="B88" s="1"/>
      <c r="C88" s="17" t="s">
        <v>302</v>
      </c>
      <c r="D88" s="17" t="s">
        <v>303</v>
      </c>
      <c r="E88" s="1" t="s">
        <v>304</v>
      </c>
      <c r="F88" s="1"/>
      <c r="G88" s="1"/>
      <c r="H88" s="1"/>
      <c r="I88" s="1"/>
    </row>
    <row r="89" spans="1:9" ht="84.75" customHeight="1" x14ac:dyDescent="0.3">
      <c r="A89" s="26" t="s">
        <v>305</v>
      </c>
      <c r="B89" s="26"/>
      <c r="C89" s="22" t="s">
        <v>306</v>
      </c>
      <c r="D89" s="22" t="s">
        <v>307</v>
      </c>
      <c r="E89" s="27" t="s">
        <v>308</v>
      </c>
      <c r="F89" s="27"/>
      <c r="G89" s="27"/>
      <c r="H89" s="27"/>
      <c r="I89" s="27"/>
    </row>
    <row r="90" spans="1:9" ht="84.75" customHeight="1" x14ac:dyDescent="0.3">
      <c r="A90" s="26" t="s">
        <v>309</v>
      </c>
      <c r="B90" s="26"/>
      <c r="C90" s="22" t="s">
        <v>310</v>
      </c>
      <c r="D90" s="22" t="s">
        <v>311</v>
      </c>
      <c r="E90" s="27" t="s">
        <v>312</v>
      </c>
      <c r="F90" s="27"/>
      <c r="G90" s="27"/>
      <c r="H90" s="27"/>
      <c r="I90" s="27"/>
    </row>
    <row r="91" spans="1:9" ht="84.75" customHeight="1" x14ac:dyDescent="0.3">
      <c r="A91" s="26" t="s">
        <v>313</v>
      </c>
      <c r="B91" s="26"/>
      <c r="C91" s="22" t="s">
        <v>314</v>
      </c>
      <c r="D91" s="22" t="s">
        <v>307</v>
      </c>
      <c r="E91" s="27" t="s">
        <v>315</v>
      </c>
      <c r="F91" s="27"/>
      <c r="G91" s="27"/>
      <c r="H91" s="27"/>
      <c r="I91" s="27"/>
    </row>
    <row r="92" spans="1:9" ht="84.75" customHeight="1" x14ac:dyDescent="0.3">
      <c r="A92" s="26" t="s">
        <v>316</v>
      </c>
      <c r="B92" s="26"/>
      <c r="C92" s="22" t="s">
        <v>317</v>
      </c>
      <c r="D92" s="22" t="s">
        <v>318</v>
      </c>
      <c r="E92" s="27" t="s">
        <v>319</v>
      </c>
      <c r="F92" s="27"/>
      <c r="G92" s="27"/>
      <c r="H92" s="27"/>
      <c r="I92" s="27"/>
    </row>
  </sheetData>
  <mergeCells count="28">
    <mergeCell ref="A90:B90"/>
    <mergeCell ref="E90:I90"/>
    <mergeCell ref="A91:B91"/>
    <mergeCell ref="E91:I91"/>
    <mergeCell ref="A92:B92"/>
    <mergeCell ref="E92:I92"/>
    <mergeCell ref="A66:I66"/>
    <mergeCell ref="A87:I87"/>
    <mergeCell ref="A88:B88"/>
    <mergeCell ref="E88:I88"/>
    <mergeCell ref="A89:B89"/>
    <mergeCell ref="E89:I89"/>
    <mergeCell ref="A7:B7"/>
    <mergeCell ref="C7:D7"/>
    <mergeCell ref="E7:H7"/>
    <mergeCell ref="A10:I10"/>
    <mergeCell ref="A44:I44"/>
    <mergeCell ref="A5:B5"/>
    <mergeCell ref="C5:D5"/>
    <mergeCell ref="E5:H5"/>
    <mergeCell ref="A6:B6"/>
    <mergeCell ref="C6:D6"/>
    <mergeCell ref="E6:H6"/>
    <mergeCell ref="A1:I1"/>
    <mergeCell ref="A3:I3"/>
    <mergeCell ref="A4:B4"/>
    <mergeCell ref="C4:D4"/>
    <mergeCell ref="E4:H4"/>
  </mergeCells>
  <conditionalFormatting sqref="I10:I84">
    <cfRule type="expression" dxfId="3" priority="2">
      <formula>I10="Catastrófico"</formula>
    </cfRule>
    <cfRule type="expression" dxfId="2" priority="3">
      <formula>I10="Alto"</formula>
    </cfRule>
    <cfRule type="expression" dxfId="1" priority="4">
      <formula>I10="Moderado"</formula>
    </cfRule>
  </conditionalFormatting>
  <conditionalFormatting sqref="H10:H84">
    <cfRule type="cellIs" dxfId="0" priority="5" operator="greaterThanOrEqual">
      <formula>19</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 Contexto Organizacional</vt:lpstr>
      <vt:lpstr>2. Identificación de Activos</vt:lpstr>
      <vt:lpstr>3. Amenazas y Vulnerabilidades</vt:lpstr>
      <vt:lpstr>4. Matriz de Riesgo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0</cp:revision>
  <dcterms:created xsi:type="dcterms:W3CDTF">2026-09-08T19:25:04Z</dcterms:created>
  <dcterms:modified xsi:type="dcterms:W3CDTF">2026-09-08T20:01:08Z</dcterms:modified>
  <dc:language>en-US</dc:language>
</cp:coreProperties>
</file>